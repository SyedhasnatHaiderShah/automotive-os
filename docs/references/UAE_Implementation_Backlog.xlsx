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98a116e97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27da84d5f734b98"/>
    <x:sheet xmlns:r="http://schemas.openxmlformats.org/officeDocument/2006/relationships" name="Backlog" sheetId="2" r:id="R08245752c4ca4e96"/>
    <x:sheet xmlns:r="http://schemas.openxmlformats.org/officeDocument/2006/relationships" name="Sprint Plan" sheetId="3" r:id="R76edb5920ffa402a"/>
    <x:sheet xmlns:r="http://schemas.openxmlformats.org/officeDocument/2006/relationships" name="Domain Entities" sheetId="4" r:id="R4f64242f613741db"/>
    <x:sheet xmlns:r="http://schemas.openxmlformats.org/officeDocument/2006/relationships" name="API Contracts" sheetId="5" r:id="R2754f27d96084254"/>
    <x:sheet xmlns:r="http://schemas.openxmlformats.org/officeDocument/2006/relationships" name="Decisions" sheetId="6" r:id="R7338141c1835431e"/>
    <x:sheet xmlns:r="http://schemas.openxmlformats.org/officeDocument/2006/relationships" name="Risks" sheetId="7" r:id="Ra2dd7287d92a41ba"/>
    <x:sheet xmlns:r="http://schemas.openxmlformats.org/officeDocument/2006/relationships" name="Pilot KPIs" sheetId="8" r:id="R6332ba60cb004ac8"/>
    <x:sheet xmlns:r="http://schemas.openxmlformats.org/officeDocument/2006/relationships" name="UAE Compliance" sheetId="9" r:id="Rf76e93f3fa4a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54677C"/>
      <x:name val="Carlito"/>
    </x:font>
    <x:font>
      <x:b/>
      <x:sz val="13"/>
      <x:color rgb="FF142B4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B45"/>
      </x:patternFill>
    </x:fill>
    <x:fill>
      <x:patternFill patternType="solid">
        <x:fgColor rgb="FF087E85"/>
      </x:patternFill>
    </x:fill>
    <x:fill>
      <x:patternFill patternType="solid">
        <x:fgColor rgb="FFEEF5F7"/>
      </x:patternFill>
    </x:fill>
    <x:fill>
      <x:patternFill patternType="solid">
        <x:fgColor rgb="FFF1F6FA"/>
      </x:patternFill>
    </x:fill>
    <x:fill>
      <x:patternFill patternType="solid">
        <x:fgColor rgb="FFF5F8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5" fillId="4" borderId="1" xfId="0" applyNumberFormat="1" applyFont="1" applyFill="1" applyBorder="1"/>
    <x:xf numFmtId="20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B42318"/>
      </x:font>
      <x:fill>
        <x:patternFill patternType="solid">
          <x:bgColor rgb="FFFCE8E8"/>
        </x:patternFill>
      </x:fill>
    </x:dxf>
    <x:dxf>
      <x:font>
        <x:color rgb="FF166534"/>
      </x:font>
      <x:fill>
        <x:patternFill patternType="solid">
          <x:bgColor rgb="FFD9F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994cdd5c7444d" /><Relationship Type="http://schemas.openxmlformats.org/officeDocument/2006/relationships/theme" Target="/xl/theme/theme1.xml" Id="R6ea2a705eb7d4eb9" /><Relationship Type="http://schemas.openxmlformats.org/officeDocument/2006/relationships/sharedStrings" Target="/xl/sharedStrings.xml" Id="R93eab9f5c7cb417b" /><Relationship Type="http://schemas.openxmlformats.org/officeDocument/2006/relationships/worksheet" Target="/xl/worksheets/sheet1.xml" Id="R227da84d5f734b98" /><Relationship Type="http://schemas.openxmlformats.org/officeDocument/2006/relationships/worksheet" Target="/xl/worksheets/sheet2.xml" Id="R08245752c4ca4e96" /><Relationship Type="http://schemas.openxmlformats.org/officeDocument/2006/relationships/worksheet" Target="/xl/worksheets/sheet3.xml" Id="R76edb5920ffa402a" /><Relationship Type="http://schemas.openxmlformats.org/officeDocument/2006/relationships/worksheet" Target="/xl/worksheets/sheet4.xml" Id="R4f64242f613741db" /><Relationship Type="http://schemas.openxmlformats.org/officeDocument/2006/relationships/worksheet" Target="/xl/worksheets/sheet5.xml" Id="R2754f27d96084254" /><Relationship Type="http://schemas.openxmlformats.org/officeDocument/2006/relationships/worksheet" Target="/xl/worksheets/sheet6.xml" Id="R7338141c1835431e" /><Relationship Type="http://schemas.openxmlformats.org/officeDocument/2006/relationships/worksheet" Target="/xl/worksheets/sheet7.xml" Id="Ra2dd7287d92a41ba" /><Relationship Type="http://schemas.openxmlformats.org/officeDocument/2006/relationships/worksheet" Target="/xl/worksheets/sheet8.xml" Id="R6332ba60cb004ac8" /><Relationship Type="http://schemas.openxmlformats.org/officeDocument/2006/relationships/worksheet" Target="/xl/worksheets/sheet9.xml" Id="Rf76e93f3fa4a4854" /></Relationships>
</file>

<file path=xl/tables/table1.xml><?xml version="1.0" encoding="utf-8"?>
<x:table xmlns:x="http://schemas.openxmlformats.org/spreadsheetml/2006/main" id="1" name="DeliveryBacklog" displayName="DeliveryBacklog" ref="A1:N64" headerRowCount="1" totalsRowCount="0" totalsRowShown="0">
  <x:tableColumns count="14">
    <x:tableColumn id="1" name="ID"/>
    <x:tableColumn id="2" name="Epic"/>
    <x:tableColumn id="3" name="Delivery story"/>
    <x:tableColumn id="4" name="Sprint"/>
    <x:tableColumn id="5" name="Priority"/>
    <x:tableColumn id="6" name="Actor"/>
    <x:tableColumn id="7" name="Acceptance criteria"/>
    <x:tableColumn id="8" name="Entities"/>
    <x:tableColumn id="9" name="API / interface"/>
    <x:tableColumn id="10" name="Dependencies"/>
    <x:tableColumn id="11" name="Size"/>
    <x:tableColumn id="12" name="Status"/>
    <x:tableColumn id="13" name="Owner"/>
    <x:tableColumn id="14" name="FRD requirement lin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Schedule" displayName="SprintSchedule" ref="A1:G14" headerRowCount="1" totalsRowCount="0" totalsRowShown="0">
  <x:tableColumns count="7">
    <x:tableColumn id="1" name="Sprint"/>
    <x:tableColumn id="2" name="Track"/>
    <x:tableColumn id="3" name="Focus"/>
    <x:tableColumn id="4" name="Exit / demo"/>
    <x:tableColumn id="5" name="Work items"/>
    <x:tableColumn id="6" name="Planned length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tityCatalogue" displayName="EntityCatalogue" ref="A1:E26" headerRowCount="1" totalsRowCount="0" totalsRowShown="0">
  <x:tableColumns count="5">
    <x:tableColumn id="1" name="Entity"/>
    <x:tableColumn id="2" name="Security scope"/>
    <x:tableColumn id="3" name="Core fields"/>
    <x:tableColumn id="4" name="Relationships"/>
    <x:tableColumn id="5" name="Implementation ru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IInventory" displayName="APIInventory" ref="A1:G25" headerRowCount="1" totalsRowCount="0" totalsRowShown="0">
  <x:tableColumns count="7">
    <x:tableColumn id="1" name="Group"/>
    <x:tableColumn id="2" name="Verb"/>
    <x:tableColumn id="3" name="Endpoint"/>
    <x:tableColumn id="4" name="Required access"/>
    <x:tableColumn id="5" name="Request"/>
    <x:tableColumn id="6" name="Response"/>
    <x:tableColumn id="7" name="Expected erro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Log" displayName="DecisionLog" ref="A1:E11" headerRowCount="1" totalsRowCount="0" totalsRowShown="0">
  <x:tableColumns count="5">
    <x:tableColumn id="1" name="ID"/>
    <x:tableColumn id="2" name="State"/>
    <x:tableColumn id="3" name="Proposal / decision"/>
    <x:tableColumn id="4" name="Implementation rationale"/>
    <x:tableColumn id="5" name="Revisit / dependen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Register" displayName="RiskRegister" ref="A1:G13" headerRowCount="1" totalsRowCount="0" totalsRowShown="0">
  <x:tableColumns count="7">
    <x:tableColumn id="1" name="ID"/>
    <x:tableColumn id="2" name="Severity"/>
    <x:tableColumn id="3" name="Risk statement"/>
    <x:tableColumn id="4" name="Exposure"/>
    <x:tableColumn id="5" name="Mitigation"/>
    <x:tableColumn id="6" name="Owner"/>
    <x:tableColumn id="7" name="Target windo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ilotMetrics" displayName="PilotMetrics" ref="A1:E13" headerRowCount="1" totalsRowCount="0" totalsRowShown="0">
  <x:tableColumns count="5">
    <x:tableColumn id="1" name="Metric"/>
    <x:tableColumn id="2" name="Definition"/>
    <x:tableColumn id="3" name="Pilot target / rule"/>
    <x:tableColumn id="4" name="When"/>
    <x:tableColumn id="5" name="Catego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plianceTracker" displayName="ComplianceTracker" ref="A1:F8" headerRowCount="1" totalsRowCount="0" totalsRowShown="0">
  <x:tableColumns count="6">
    <x:tableColumn id="1" name="Topic"/>
    <x:tableColumn id="2" name="Scope"/>
    <x:tableColumn id="3" name="Implementation task"/>
    <x:tableColumn id="4" name="Owner"/>
    <x:tableColumn id="5" name="State"/>
    <x:tableColumn id="6" name="Source / 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112b14c1ce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10b196794549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44dbe47a79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749980f5fb4c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a83d3204394e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a2d255462d43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a70c59b00b47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4b6dadf54c457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4" t="str">
        <x:v>UAE AUTOMOTIVE PLATFORM | DELIVERY CONTROL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4" ht="24" customHeight="1">
      <x:c r="A4" s="9" t="str">
        <x:v>PRODUCT BASELINE · UAE FIRST · MARKETPLACE + MULTI-TENANT DEALERSHIP SAAS</x:v>
      </x:c>
      <x:c r="B4" s="9"/>
      <x:c r="C4" s="9"/>
      <x:c r="D4" s="9"/>
      <x:c r="E4" s="9"/>
      <x:c r="F4" s="9"/>
      <x:c r="G4" s="9"/>
      <x:c r="H4" s="9"/>
    </x:row>
    <x:row r="6">
      <x:c r="A6" s="14" t="str">
        <x:v>Document</x:v>
      </x:c>
      <x:c r="B6" s="16" t="str">
        <x:v>FRD v2.1</x:v>
      </x:c>
      <x:c r="C6" s="16"/>
      <x:c r="D6" s="16"/>
      <x:c r="E6" s="16"/>
      <x:c r="F6" s="16"/>
      <x:c r="G6" s="16"/>
      <x:c r="H6" s="16"/>
    </x:row>
    <x:row r="7">
      <x:c r="A7" s="14" t="str">
        <x:v>Geography</x:v>
      </x:c>
      <x:c r="B7" s="16" t="str">
        <x:v>UAE: Dubai + Sharjah pilot; 7 emirates supported</x:v>
      </x:c>
      <x:c r="C7" s="16"/>
      <x:c r="D7" s="16"/>
      <x:c r="E7" s="16"/>
      <x:c r="F7" s="16"/>
      <x:c r="G7" s="16"/>
      <x:c r="H7" s="16"/>
    </x:row>
    <x:row r="8">
      <x:c r="A8" s="14" t="str">
        <x:v>Engineering strategy</x:v>
      </x:c>
      <x:c r="B8" s="16" t="str">
        <x:v>Modular NestJS monolith; Next.js surfaces; PostgreSQL</x:v>
      </x:c>
      <x:c r="C8" s="16"/>
      <x:c r="D8" s="16"/>
      <x:c r="E8" s="16"/>
      <x:c r="F8" s="16"/>
      <x:c r="G8" s="16"/>
      <x:c r="H8" s="16"/>
    </x:row>
    <x:row r="9">
      <x:c r="A9" s="14" t="str">
        <x:v>Release hypothesis</x:v>
      </x:c>
      <x:c r="B9" s="16" t="str">
        <x:v>S0–S12, 13 × 2-week sprints (not a commitment)</x:v>
      </x:c>
      <x:c r="C9" s="16"/>
      <x:c r="D9" s="16"/>
      <x:c r="E9" s="16"/>
      <x:c r="F9" s="16"/>
      <x:c r="G9" s="16"/>
      <x:c r="H9" s="16"/>
    </x:row>
    <x:row r="10">
      <x:c r="A10" s="14" t="str">
        <x:v>Scope boundary</x:v>
      </x:c>
      <x:c r="B10" s="16" t="str">
        <x:v>Full DMS retained in FRD; marketplace transaction loop first</x:v>
      </x:c>
      <x:c r="C10" s="16"/>
      <x:c r="D10" s="16"/>
      <x:c r="E10" s="16"/>
      <x:c r="F10" s="16"/>
      <x:c r="G10" s="16"/>
      <x:c r="H10" s="16"/>
    </x:row>
    <x:row r="11">
      <x:c r="A11" s="14" t="str">
        <x:v>Source of truth</x:v>
      </x:c>
      <x:c r="B11" s="16" t="str">
        <x:v>Dealer inventory -&gt; moderated public listing -&gt; scoped CRM lead</x:v>
      </x:c>
      <x:c r="C11" s="16"/>
      <x:c r="D11" s="16"/>
      <x:c r="E11" s="16"/>
      <x:c r="F11" s="16"/>
      <x:c r="G11" s="16"/>
      <x:c r="H11" s="16"/>
    </x:row>
    <x:row r="13">
      <x:c r="A13" s="18" t="str">
        <x:v>DELIVERY METRICS</x:v>
      </x:c>
      <x:c r="B13" s="18"/>
      <x:c r="C13" s="18"/>
      <x:c r="D13" s="18"/>
    </x:row>
    <x:row r="14" ht="23" customHeight="1">
      <x:c r="A14" s="12" t="str">
        <x:v>Work items</x:v>
      </x:c>
      <x:c r="B14" s="24" t="n">
        <x:f>COUNTA(Backlog!A2:A500)</x:f>
        <x:v>63</x:v>
      </x:c>
    </x:row>
    <x:row r="15" ht="23" customHeight="1">
      <x:c r="A15" s="12" t="str">
        <x:v>P0 items</x:v>
      </x:c>
      <x:c r="B15" s="24" t="n">
        <x:f>COUNTIF(Backlog!E2:E500,"P0")</x:f>
        <x:v>53</x:v>
      </x:c>
    </x:row>
    <x:row r="16" ht="23" customHeight="1">
      <x:c r="A16" s="12" t="str">
        <x:v>P1 items</x:v>
      </x:c>
      <x:c r="B16" s="24" t="n">
        <x:f>COUNTIF(Backlog!E2:E500,"P1")</x:f>
        <x:v>10</x:v>
      </x:c>
    </x:row>
    <x:row r="17" ht="23" customHeight="1">
      <x:c r="A17" s="12" t="str">
        <x:v>Completed</x:v>
      </x:c>
      <x:c r="B17" s="24" t="n">
        <x:f>COUNTIF(Backlog!L2:L500,"Done")</x:f>
        <x:v>0</x:v>
      </x:c>
    </x:row>
    <x:row r="18" ht="23" customHeight="1">
      <x:c r="A18" s="12" t="str">
        <x:v>In progress</x:v>
      </x:c>
      <x:c r="B18" s="24" t="n">
        <x:f>COUNTIF(Backlog!L2:L500,"In progress")</x:f>
        <x:v>0</x:v>
      </x:c>
    </x:row>
    <x:row r="19" ht="23" customHeight="1">
      <x:c r="A19" s="12" t="str">
        <x:v>Completion rate</x:v>
      </x:c>
      <x:c r="B19" s="25" t="n">
        <x:f>IFERROR(B17/B14,0)</x:f>
        <x:v>0</x:v>
      </x:c>
    </x:row>
    <x:row r="21">
      <x:c r="A21" s="18" t="str">
        <x:v>WORKBOOK GUIDE</x:v>
      </x:c>
      <x:c r="B21" s="18"/>
      <x:c r="C21" s="18"/>
      <x:c r="D21" s="18"/>
      <x:c r="E21" s="18"/>
      <x:c r="F21" s="18"/>
      <x:c r="G21" s="18"/>
      <x:c r="H21" s="18"/>
    </x:row>
    <x:row r="23" ht="34" customHeight="1">
      <x:c r="A23" s="32" t="str">
        <x:v>Backlog: 63 delivery work items; add owners, update status and estimates. P0 includes engineering enablers not counted as functional requirements.</x:v>
      </x:c>
      <x:c r="B23" s="32"/>
      <x:c r="C23" s="32"/>
      <x:c r="D23" s="32"/>
      <x:c r="E23" s="32"/>
      <x:c r="F23" s="32"/>
      <x:c r="G23" s="32"/>
      <x:c r="H23" s="32"/>
    </x:row>
    <x:row r="24" ht="34" customHeight="1">
      <x:c r="A24" s="30" t="str">
        <x:v>Sprint Plan: dependency-ordered rollout and exit criteria; estimates require team capacity calibration.</x:v>
      </x:c>
      <x:c r="B24" s="30"/>
      <x:c r="C24" s="30"/>
      <x:c r="D24" s="30"/>
      <x:c r="E24" s="30"/>
      <x:c r="F24" s="30"/>
      <x:c r="G24" s="30"/>
      <x:c r="H24" s="30"/>
    </x:row>
    <x:row r="25" ht="34" customHeight="1">
      <x:c r="A25" s="32" t="str">
        <x:v>Domain Entities: database design baseline with security scopes and invariants.</x:v>
      </x:c>
      <x:c r="B25" s="32"/>
      <x:c r="C25" s="32"/>
      <x:c r="D25" s="32"/>
      <x:c r="E25" s="32"/>
      <x:c r="F25" s="32"/>
      <x:c r="G25" s="32"/>
      <x:c r="H25" s="32"/>
    </x:row>
    <x:row r="26" ht="34" customHeight="1">
      <x:c r="A26" s="30" t="str">
        <x:v>API Contracts: starter REST endpoint inventory; implement DTOs, auth and OpenAPI schemas before coding.</x:v>
      </x:c>
      <x:c r="B26" s="30"/>
      <x:c r="C26" s="30"/>
      <x:c r="D26" s="30"/>
      <x:c r="E26" s="30"/>
      <x:c r="F26" s="30"/>
      <x:c r="G26" s="30"/>
      <x:c r="H26" s="30"/>
    </x:row>
    <x:row r="27" ht="34" customHeight="1">
      <x:c r="A27" s="32" t="str">
        <x:v>Decisions, Risks, Pilot KPIs and UAE Compliance: maintain weekly during delivery.</x:v>
      </x:c>
      <x:c r="B27" s="32"/>
      <x:c r="C27" s="32"/>
      <x:c r="D27" s="32"/>
      <x:c r="E27" s="32"/>
      <x:c r="F27" s="32"/>
      <x:c r="G27" s="32"/>
      <x:c r="H27" s="32"/>
    </x:row>
    <x:row r="28" ht="34" customHeight="1">
      <x:c r="A28" s="30" t="str">
        <x:v>Do not treat dealer onboarding, KYB partnerships or payment approvals as guaranteed by a sprint schedule.</x:v>
      </x:c>
      <x:c r="B28" s="30"/>
      <x:c r="C28" s="30"/>
      <x:c r="D28" s="30"/>
      <x:c r="E28" s="30"/>
      <x:c r="F28" s="30"/>
      <x:c r="G28" s="30"/>
      <x:c r="H28" s="30"/>
    </x:row>
  </x:sheetData>
  <x:mergeCells>
    <x:mergeCell ref="A1:H2"/>
    <x:mergeCell ref="A4:H4"/>
    <x:mergeCell ref="B7:H7"/>
    <x:mergeCell ref="B8:H8"/>
    <x:mergeCell ref="B9:H9"/>
    <x:mergeCell ref="B10:H10"/>
    <x:mergeCell ref="B11:H11"/>
    <x:mergeCell ref="A13:D13"/>
    <x:mergeCell ref="A21:H21"/>
    <x:mergeCell ref="A23:H23"/>
    <x:mergeCell ref="A24:H24"/>
    <x:mergeCell ref="A25:H25"/>
    <x:mergeCell ref="A26:H26"/>
    <x:mergeCell ref="A27:H27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42" hidden="0" customWidth="1"/>
    <x:col min="4" max="4" width="12" hidden="0" customWidth="1"/>
    <x:col min="5" max="5" width="11" hidden="0" customWidth="1"/>
    <x:col min="6" max="6" width="21" hidden="0" customWidth="1"/>
    <x:col min="7" max="7" width="72" hidden="0" customWidth="1"/>
    <x:col min="8" max="8" width="36" hidden="0" customWidth="1"/>
    <x:col min="9" max="9" width="42" hidden="0" customWidth="1"/>
    <x:col min="10" max="10" width="31" hidden="0" customWidth="1"/>
    <x:col min="11" max="11" width="9" hidden="0" customWidth="1"/>
    <x:col min="12" max="12" width="18" hidden="0" customWidth="1"/>
    <x:col min="13" max="13" width="19" hidden="0" customWidth="1"/>
    <x:col min="14" max="14" width="27" hidden="0" customWidth="1"/>
  </x:cols>
  <x:sheetData>
    <x:row r="1" ht="32" customHeight="1">
      <x:c r="A1" s="35" t="str">
        <x:v>ID</x:v>
      </x:c>
      <x:c r="B1" s="35" t="str">
        <x:v>Epic</x:v>
      </x:c>
      <x:c r="C1" s="35" t="str">
        <x:v>Delivery story</x:v>
      </x:c>
      <x:c r="D1" s="35" t="str">
        <x:v>Sprint</x:v>
      </x:c>
      <x:c r="E1" s="35" t="str">
        <x:v>Priority</x:v>
      </x:c>
      <x:c r="F1" s="35" t="str">
        <x:v>Actor</x:v>
      </x:c>
      <x:c r="G1" s="35" t="str">
        <x:v>Acceptance criteria</x:v>
      </x:c>
      <x:c r="H1" s="35" t="str">
        <x:v>Entities</x:v>
      </x:c>
      <x:c r="I1" s="35" t="str">
        <x:v>API / interface</x:v>
      </x:c>
      <x:c r="J1" s="35" t="str">
        <x:v>Dependencies</x:v>
      </x:c>
      <x:c r="K1" s="35" t="str">
        <x:v>Size</x:v>
      </x:c>
      <x:c r="L1" s="35" t="str">
        <x:v>Status</x:v>
      </x:c>
      <x:c r="M1" s="35" t="str">
        <x:v>Owner</x:v>
      </x:c>
      <x:c r="N1" s="35" t="str">
        <x:v>FRD requirement links</x:v>
      </x:c>
    </x:row>
    <x:row r="2" ht="42" customHeight="1">
      <x:c r="A2" s="30" t="str">
        <x:v>ARC-001</x:v>
      </x:c>
      <x:c r="B2" s="30" t="str">
        <x:v>Architecture</x:v>
      </x:c>
      <x:c r="C2" s="30" t="str">
        <x:v>Monorepo, modules, CI and test environments</x:v>
      </x:c>
      <x:c r="D2" s="30" t="str">
        <x:v>S0</x:v>
      </x:c>
      <x:c r="E2" s="30" t="str">
        <x:v>P0</x:v>
      </x:c>
      <x:c r="F2" s="30" t="str">
        <x:v>Engineering</x:v>
      </x:c>
      <x:c r="G2" s="30" t="str">
        <x:v>Repository checks lint, unit tests and deployment on every merge; development, staging and production separated.</x:v>
      </x:c>
      <x:c r="H2" s="30" t="str">
        <x:v>module_config, deployment</x:v>
      </x:c>
      <x:c r="I2" s="30" t="str">
        <x:v>/health; /ready</x:v>
      </x:c>
      <x:c r="J2" s="30" t="str"/>
      <x:c r="K2" s="30" t="str">
        <x:v>L</x:v>
      </x:c>
      <x:c r="L2" s="30" t="str">
        <x:v>Not started</x:v>
      </x:c>
      <x:c r="M2" s="30" t="str">
        <x:v>Unassigned</x:v>
      </x:c>
      <x:c r="N2" s="30" t="str">
        <x:v>INT-001</x:v>
      </x:c>
    </x:row>
    <x:row r="3" ht="42" customHeight="1">
      <x:c r="A3" s="40" t="str">
        <x:v>ARC-002</x:v>
      </x:c>
      <x:c r="B3" s="40" t="str">
        <x:v>Architecture</x:v>
      </x:c>
      <x:c r="C3" s="40" t="str">
        <x:v>UAE country configuration and feature-flag registry</x:v>
      </x:c>
      <x:c r="D3" s="40" t="str">
        <x:v>S0</x:v>
      </x:c>
      <x:c r="E3" s="40" t="str">
        <x:v>P0</x:v>
      </x:c>
      <x:c r="F3" s="40" t="str">
        <x:v>Platform admin</x:v>
      </x:c>
      <x:c r="G3" s="40" t="str">
        <x:v>AED, Dubai timezone default, emirate values, locale and rule version are data-backed not hardcoded.</x:v>
      </x:c>
      <x:c r="H3" s="40" t="str">
        <x:v>country, locale, country_rule, feature_flag</x:v>
      </x:c>
      <x:c r="I3" s="40" t="str">
        <x:v>GET /v1/config/markets/AE</x:v>
      </x:c>
      <x:c r="J3" s="40" t="str"/>
      <x:c r="K3" s="40" t="str">
        <x:v>M</x:v>
      </x:c>
      <x:c r="L3" s="40" t="str">
        <x:v>Not started</x:v>
      </x:c>
      <x:c r="M3" s="40" t="str">
        <x:v>Unassigned</x:v>
      </x:c>
      <x:c r="N3" s="40" t="str">
        <x:v>ORG-001</x:v>
      </x:c>
    </x:row>
    <x:row r="4" ht="42" customHeight="1">
      <x:c r="A4" s="30" t="str">
        <x:v>ARC-003</x:v>
      </x:c>
      <x:c r="B4" s="30" t="str">
        <x:v>Architecture</x:v>
      </x:c>
      <x:c r="C4" s="30" t="str">
        <x:v>Threat model and authorization contract</x:v>
      </x:c>
      <x:c r="D4" s="30" t="str">
        <x:v>S0</x:v>
      </x:c>
      <x:c r="E4" s="30" t="str">
        <x:v>P0</x:v>
      </x:c>
      <x:c r="F4" s="30" t="str">
        <x:v>Security</x:v>
      </x:c>
      <x:c r="G4" s="30" t="str">
        <x:v>Document cross-tenant and buyer privacy threat scenarios and required automated tests.</x:v>
      </x:c>
      <x:c r="H4" s="30" t="str">
        <x:v>permissions, policy_rule</x:v>
      </x:c>
      <x:c r="I4" s="30" t="str">
        <x:v>n/a</x:v>
      </x:c>
      <x:c r="J4" s="30" t="str"/>
      <x:c r="K4" s="30" t="str">
        <x:v>M</x:v>
      </x:c>
      <x:c r="L4" s="30" t="str">
        <x:v>Not started</x:v>
      </x:c>
      <x:c r="M4" s="30" t="str">
        <x:v>Unassigned</x:v>
      </x:c>
      <x:c r="N4" s="30" t="str">
        <x:v>SOC-001,SOC-002</x:v>
      </x:c>
    </x:row>
    <x:row r="5" ht="42" customHeight="1">
      <x:c r="A5" s="40" t="str">
        <x:v>OPS-001</x:v>
      </x:c>
      <x:c r="B5" s="40" t="str">
        <x:v>Operations</x:v>
      </x:c>
      <x:c r="C5" s="40" t="str">
        <x:v>Dealer pilot intake and feedback protocol</x:v>
      </x:c>
      <x:c r="D5" s="40" t="str">
        <x:v>S0</x:v>
      </x:c>
      <x:c r="E5" s="40" t="str">
        <x:v>P0</x:v>
      </x:c>
      <x:c r="F5" s="40" t="str">
        <x:v>Product/ops</x:v>
      </x:c>
      <x:c r="G5" s="40" t="str">
        <x:v>Sign up pilot dealers, agree measurable lead service expectations, stock-feed formats and consent terms.</x:v>
      </x:c>
      <x:c r="H5" s="40" t="str">
        <x:v>pilot_dealer, pilot_feedback</x:v>
      </x:c>
      <x:c r="I5" s="40" t="str">
        <x:v>n/a</x:v>
      </x:c>
      <x:c r="J5" s="40" t="str"/>
      <x:c r="K5" s="40" t="str">
        <x:v>M</x:v>
      </x:c>
      <x:c r="L5" s="40" t="str">
        <x:v>Not started</x:v>
      </x:c>
      <x:c r="M5" s="40" t="str">
        <x:v>Unassigned</x:v>
      </x:c>
      <x:c r="N5" s="40" t="str"/>
    </x:row>
    <x:row r="6" ht="42" customHeight="1">
      <x:c r="A6" s="30" t="str">
        <x:v>TEN-001</x:v>
      </x:c>
      <x:c r="B6" s="30" t="str">
        <x:v>Tenancy</x:v>
      </x:c>
      <x:c r="C6" s="30" t="str">
        <x:v>Tenant, group and branch provisioning</x:v>
      </x:c>
      <x:c r="D6" s="30" t="str">
        <x:v>S1</x:v>
      </x:c>
      <x:c r="E6" s="30" t="str">
        <x:v>P0</x:v>
      </x:c>
      <x:c r="F6" s="30" t="str">
        <x:v>Platform admin</x:v>
      </x:c>
      <x:c r="G6" s="30" t="str">
        <x:v>New dealer group creates isolated tenant and branches; all records have owner tenant and lifecycle state.</x:v>
      </x:c>
      <x:c r="H6" s="30" t="str">
        <x:v>tenant, branch, dealer_group</x:v>
      </x:c>
      <x:c r="I6" s="30" t="str">
        <x:v>POST /v1/admin/tenants</x:v>
      </x:c>
      <x:c r="J6" s="30" t="str">
        <x:v>ARC-001</x:v>
      </x:c>
      <x:c r="K6" s="30" t="str">
        <x:v>L</x:v>
      </x:c>
      <x:c r="L6" s="30" t="str">
        <x:v>Not started</x:v>
      </x:c>
      <x:c r="M6" s="30" t="str">
        <x:v>Unassigned</x:v>
      </x:c>
      <x:c r="N6" s="30" t="str">
        <x:v>ORG-001</x:v>
      </x:c>
    </x:row>
    <x:row r="7" ht="42" customHeight="1">
      <x:c r="A7" s="40" t="str">
        <x:v>IAM-001</x:v>
      </x:c>
      <x:c r="B7" s="40" t="str">
        <x:v>Identity</x:v>
      </x:c>
      <x:c r="C7" s="40" t="str">
        <x:v>Buyer and staff signup/login and session revocation</x:v>
      </x:c>
      <x:c r="D7" s="40" t="str">
        <x:v>S1</x:v>
      </x:c>
      <x:c r="E7" s="40" t="str">
        <x:v>P0</x:v>
      </x:c>
      <x:c r="F7" s="40" t="str">
        <x:v>Buyer, dealer staff</x:v>
      </x:c>
      <x:c r="G7" s="40" t="str">
        <x:v>Buyer identity is global; staff membership is verified per tenant; revoked user cannot access existing sessions.</x:v>
      </x:c>
      <x:c r="H7" s="40" t="str">
        <x:v>users, identities, sessions, tenant_members</x:v>
      </x:c>
      <x:c r="I7" s="40" t="str">
        <x:v>POST /v1/auth/session; DELETE /v1/auth/session</x:v>
      </x:c>
      <x:c r="J7" s="40" t="str">
        <x:v>TEN-001</x:v>
      </x:c>
      <x:c r="K7" s="40" t="str">
        <x:v>L</x:v>
      </x:c>
      <x:c r="L7" s="40" t="str">
        <x:v>Not started</x:v>
      </x:c>
      <x:c r="M7" s="40" t="str">
        <x:v>Unassigned</x:v>
      </x:c>
      <x:c r="N7" s="40" t="str">
        <x:v>BUY-001,ORG-003,SOC-001</x:v>
      </x:c>
    </x:row>
    <x:row r="8" ht="42" customHeight="1">
      <x:c r="A8" s="30" t="str">
        <x:v>IAM-002</x:v>
      </x:c>
      <x:c r="B8" s="30" t="str">
        <x:v>Identity</x:v>
      </x:c>
      <x:c r="C8" s="30" t="str">
        <x:v>Role, branch policy checks and RLS</x:v>
      </x:c>
      <x:c r="D8" s="30" t="str">
        <x:v>S1</x:v>
      </x:c>
      <x:c r="E8" s="30" t="str">
        <x:v>P0</x:v>
      </x:c>
      <x:c r="F8" s="30" t="str">
        <x:v>Dealer admin</x:v>
      </x:c>
      <x:c r="G8" s="30" t="str">
        <x:v>Enforce permissions server-side and in PostgreSQL RLS where appropriate; IDOR/cross-tenant tests fail closed.</x:v>
      </x:c>
      <x:c r="H8" s="30" t="str">
        <x:v>role, membership, permission, branch_scope</x:v>
      </x:c>
      <x:c r="I8" s="30" t="str">
        <x:v>GET /v1/dealer/me/permissions</x:v>
      </x:c>
      <x:c r="J8" s="30" t="str">
        <x:v>IAM-001</x:v>
      </x:c>
      <x:c r="K8" s="30" t="str">
        <x:v>L</x:v>
      </x:c>
      <x:c r="L8" s="30" t="str">
        <x:v>Not started</x:v>
      </x:c>
      <x:c r="M8" s="30" t="str">
        <x:v>Unassigned</x:v>
      </x:c>
      <x:c r="N8" s="30" t="str">
        <x:v>ORG-002,SOC-002</x:v>
      </x:c>
    </x:row>
    <x:row r="9" ht="42" customHeight="1">
      <x:c r="A9" s="40" t="str">
        <x:v>SEC-001</x:v>
      </x:c>
      <x:c r="B9" s="40" t="str">
        <x:v>Trust &amp; safety</x:v>
      </x:c>
      <x:c r="C9" s="40" t="str">
        <x:v>Audit log for sensitive actions</x:v>
      </x:c>
      <x:c r="D9" s="40" t="str">
        <x:v>S1</x:v>
      </x:c>
      <x:c r="E9" s="40" t="str">
        <x:v>P0</x:v>
      </x:c>
      <x:c r="F9" s="40" t="str">
        <x:v>Platform admin</x:v>
      </x:c>
      <x:c r="G9" s="40" t="str">
        <x:v>Write append-only events with actor, tenant, resource, before/after, correlation id; immutable to dealer.</x:v>
      </x:c>
      <x:c r="H9" s="40" t="str">
        <x:v>audit_event</x:v>
      </x:c>
      <x:c r="I9" s="40" t="str">
        <x:v>GET /v1/admin/audit-events</x:v>
      </x:c>
      <x:c r="J9" s="40" t="str">
        <x:v>IAM-002</x:v>
      </x:c>
      <x:c r="K9" s="40" t="str">
        <x:v>M</x:v>
      </x:c>
      <x:c r="L9" s="40" t="str">
        <x:v>Not started</x:v>
      </x:c>
      <x:c r="M9" s="40" t="str">
        <x:v>Unassigned</x:v>
      </x:c>
      <x:c r="N9" s="40" t="str">
        <x:v>ORG-004</x:v>
      </x:c>
    </x:row>
    <x:row r="10" ht="42" customHeight="1">
      <x:c r="A10" s="30" t="str">
        <x:v>REF-001</x:v>
      </x:c>
      <x:c r="B10" s="30" t="str">
        <x:v>Vehicle catalogue</x:v>
      </x:c>
      <x:c r="C10" s="30" t="str">
        <x:v>Make/model/variant and UAE spec reference data</x:v>
      </x:c>
      <x:c r="D10" s="30" t="str">
        <x:v>S1</x:v>
      </x:c>
      <x:c r="E10" s="30" t="str">
        <x:v>P0</x:v>
      </x:c>
      <x:c r="F10" s="30" t="str">
        <x:v>Platform admin</x:v>
      </x:c>
      <x:c r="G10" s="30" t="str">
        <x:v>Canonical make/model/trim IDs, fuel, body, GCC specs, emirate and Arabic labels managed centrally.</x:v>
      </x:c>
      <x:c r="H10" s="30" t="str">
        <x:v>vehicle_make, vehicle_model, vehicle_trim, spec_region</x:v>
      </x:c>
      <x:c r="I10" s="30" t="str">
        <x:v>GET /v1/catalog/makes</x:v>
      </x:c>
      <x:c r="J10" s="30" t="str">
        <x:v>ARC-002</x:v>
      </x:c>
      <x:c r="K10" s="30" t="str">
        <x:v>L</x:v>
      </x:c>
      <x:c r="L10" s="30" t="str">
        <x:v>Not started</x:v>
      </x:c>
      <x:c r="M10" s="30" t="str">
        <x:v>Unassigned</x:v>
      </x:c>
      <x:c r="N10" s="30" t="str">
        <x:v>ADM-004,LST-006</x:v>
      </x:c>
    </x:row>
    <x:row r="11" ht="42" customHeight="1">
      <x:c r="A11" s="40" t="str">
        <x:v>KYB-001</x:v>
      </x:c>
      <x:c r="B11" s="40" t="str">
        <x:v>Dealer onboarding</x:v>
      </x:c>
      <x:c r="C11" s="40" t="str">
        <x:v>Dealer trade-license evidence and review queue</x:v>
      </x:c>
      <x:c r="D11" s="40" t="str">
        <x:v>S2</x:v>
      </x:c>
      <x:c r="E11" s="40" t="str">
        <x:v>P0</x:v>
      </x:c>
      <x:c r="F11" s="40" t="str">
        <x:v>Dealer owner/platform reviewer</x:v>
      </x:c>
      <x:c r="G11" s="40" t="str">
        <x:v>License files kept private; reviewer approves/rejects with expiry date and reason; public badge only after approval.</x:v>
      </x:c>
      <x:c r="H11" s="40" t="str">
        <x:v>dealer_legal_entity, kyb_case, document</x:v>
      </x:c>
      <x:c r="I11" s="40" t="str">
        <x:v>POST /v1/dealers/verification</x:v>
      </x:c>
      <x:c r="J11" s="40" t="str">
        <x:v>IAM-002</x:v>
      </x:c>
      <x:c r="K11" s="40" t="str">
        <x:v>L</x:v>
      </x:c>
      <x:c r="L11" s="40" t="str">
        <x:v>Not started</x:v>
      </x:c>
      <x:c r="M11" s="40" t="str">
        <x:v>Unassigned</x:v>
      </x:c>
      <x:c r="N11" s="40" t="str">
        <x:v>TRU-001,TRU-002</x:v>
      </x:c>
    </x:row>
    <x:row r="12" ht="42" customHeight="1">
      <x:c r="A12" s="30" t="str">
        <x:v>KYB-002</x:v>
      </x:c>
      <x:c r="B12" s="30" t="str">
        <x:v>Dealer onboarding</x:v>
      </x:c>
      <x:c r="C12" s="30" t="str">
        <x:v>Dealer storefront and branch management</x:v>
      </x:c>
      <x:c r="D12" s="30" t="str">
        <x:v>S2</x:v>
      </x:c>
      <x:c r="E12" s="30" t="str">
        <x:v>P0</x:v>
      </x:c>
      <x:c r="F12" s="30" t="str">
        <x:v>Dealer owner</x:v>
      </x:c>
      <x:c r="G12" s="30" t="str">
        <x:v>Public page exposes only approved legal business identity, branches and inventory; suspensions remove seller from public.</x:v>
      </x:c>
      <x:c r="H12" s="30" t="str">
        <x:v>dealer_profile, branch</x:v>
      </x:c>
      <x:c r="I12" s="30" t="str">
        <x:v>GET /v1/public/dealers/{slug}</x:v>
      </x:c>
      <x:c r="J12" s="30" t="str">
        <x:v>KYB-001</x:v>
      </x:c>
      <x:c r="K12" s="30" t="str">
        <x:v>M</x:v>
      </x:c>
      <x:c r="L12" s="30" t="str">
        <x:v>Not started</x:v>
      </x:c>
      <x:c r="M12" s="30" t="str">
        <x:v>Unassigned</x:v>
      </x:c>
      <x:c r="N12" s="30" t="str">
        <x:v>TRU-004,EXP-004</x:v>
      </x:c>
    </x:row>
    <x:row r="13" ht="42" customHeight="1">
      <x:c r="A13" s="40" t="str">
        <x:v>INV-101</x:v>
      </x:c>
      <x:c r="B13" s="40" t="str">
        <x:v>Inventory</x:v>
      </x:c>
      <x:c r="C13" s="40" t="str">
        <x:v>VIN-backed stock create, receive and update</x:v>
      </x:c>
      <x:c r="D13" s="40" t="str">
        <x:v>S2</x:v>
      </x:c>
      <x:c r="E13" s="40" t="str">
        <x:v>P0</x:v>
      </x:c>
      <x:c r="F13" s="40" t="str">
        <x:v>Inventory manager</x:v>
      </x:c>
      <x:c r="G13" s="40" t="str">
        <x:v>VIN normalized; duplicate active VIN per tenant prevented; stock belongs to one tenant and branch; writes audited.</x:v>
      </x:c>
      <x:c r="H13" s="40" t="str">
        <x:v>inventory_item, vehicle, stock_event</x:v>
      </x:c>
      <x:c r="I13" s="40" t="str">
        <x:v>POST /v1/dealer/stock</x:v>
      </x:c>
      <x:c r="J13" s="40" t="str">
        <x:v>REF-001,IAM-002</x:v>
      </x:c>
      <x:c r="K13" s="40" t="str">
        <x:v>L</x:v>
      </x:c>
      <x:c r="L13" s="40" t="str">
        <x:v>Not started</x:v>
      </x:c>
      <x:c r="M13" s="40" t="str">
        <x:v>Unassigned</x:v>
      </x:c>
      <x:c r="N13" s="40" t="str">
        <x:v>INV-001,INV-002,INV-003</x:v>
      </x:c>
    </x:row>
    <x:row r="14" ht="42" customHeight="1">
      <x:c r="A14" s="30" t="str">
        <x:v>INV-102</x:v>
      </x:c>
      <x:c r="B14" s="30" t="str">
        <x:v>Inventory</x:v>
      </x:c>
      <x:c r="C14" s="30" t="str">
        <x:v>Stock lifecycle and availability reservations</x:v>
      </x:c>
      <x:c r="D14" s="30" t="str">
        <x:v>S2</x:v>
      </x:c>
      <x:c r="E14" s="30" t="str">
        <x:v>P0</x:v>
      </x:c>
      <x:c r="F14" s="30" t="str">
        <x:v>Inventory manager</x:v>
      </x:c>
      <x:c r="G14" s="30" t="str">
        <x:v>Only allowed status transitions; reserve via transaction lock; sold/reserved non-sellable for conflicting orders.</x:v>
      </x:c>
      <x:c r="H14" s="30" t="str">
        <x:v>stock_event, stock_reservation</x:v>
      </x:c>
      <x:c r="I14" s="30" t="str">
        <x:v>POST /v1/dealer/stock/{id}/transitions</x:v>
      </x:c>
      <x:c r="J14" s="30" t="str">
        <x:v>INV-101</x:v>
      </x:c>
      <x:c r="K14" s="30" t="str">
        <x:v>L</x:v>
      </x:c>
      <x:c r="L14" s="30" t="str">
        <x:v>Not started</x:v>
      </x:c>
      <x:c r="M14" s="30" t="str">
        <x:v>Unassigned</x:v>
      </x:c>
      <x:c r="N14" s="30" t="str">
        <x:v>INV-004,SAL-002</x:v>
      </x:c>
    </x:row>
    <x:row r="15" ht="42" customHeight="1">
      <x:c r="A15" s="40" t="str">
        <x:v>MED-001</x:v>
      </x:c>
      <x:c r="B15" s="40" t="str">
        <x:v>Media</x:v>
      </x:c>
      <x:c r="C15" s="40" t="str">
        <x:v>Vehicle image storage, scanning and ordering</x:v>
      </x:c>
      <x:c r="D15" s="40" t="str">
        <x:v>S2</x:v>
      </x:c>
      <x:c r="E15" s="40" t="str">
        <x:v>P0</x:v>
      </x:c>
      <x:c r="F15" s="40" t="str">
        <x:v>Inventory manager</x:v>
      </x:c>
      <x:c r="G15" s="40" t="str">
        <x:v>Signed uploads; MIME validation, size limits, virus scanning, originals retained, image order persisted.</x:v>
      </x:c>
      <x:c r="H15" s="40" t="str">
        <x:v>media_asset, media_scan</x:v>
      </x:c>
      <x:c r="I15" s="40" t="str">
        <x:v>POST /v1/dealer/media/upload-init</x:v>
      </x:c>
      <x:c r="J15" s="40" t="str">
        <x:v>INV-101</x:v>
      </x:c>
      <x:c r="K15" s="40" t="str">
        <x:v>L</x:v>
      </x:c>
      <x:c r="L15" s="40" t="str">
        <x:v>Not started</x:v>
      </x:c>
      <x:c r="M15" s="40" t="str">
        <x:v>Unassigned</x:v>
      </x:c>
      <x:c r="N15" s="40" t="str">
        <x:v>LST-003</x:v>
      </x:c>
    </x:row>
    <x:row r="16" ht="42" customHeight="1">
      <x:c r="A16" s="30" t="str">
        <x:v>LST-101</x:v>
      </x:c>
      <x:c r="B16" s="30" t="str">
        <x:v>Listings</x:v>
      </x:c>
      <x:c r="C16" s="30" t="str">
        <x:v>Draft-to-review listing mapping from stock</x:v>
      </x:c>
      <x:c r="D16" s="30" t="str">
        <x:v>S3</x:v>
      </x:c>
      <x:c r="E16" s="30" t="str">
        <x:v>P0</x:v>
      </x:c>
      <x:c r="F16" s="30" t="str">
        <x:v>Inventory manager</x:v>
      </x:c>
      <x:c r="G16" s="30" t="str">
        <x:v>Publish fails without price, year, images, VIN private, mileage, specs, ownership, dealer verification.</x:v>
      </x:c>
      <x:c r="H16" s="30" t="str">
        <x:v>listing, listing_revision</x:v>
      </x:c>
      <x:c r="I16" s="30" t="str">
        <x:v>POST /v1/dealer/stock/{id}/listings</x:v>
      </x:c>
      <x:c r="J16" s="30" t="str">
        <x:v>KYB-001,MED-001,INV-101</x:v>
      </x:c>
      <x:c r="K16" s="30" t="str">
        <x:v>L</x:v>
      </x:c>
      <x:c r="L16" s="30" t="str">
        <x:v>Not started</x:v>
      </x:c>
      <x:c r="M16" s="30" t="str">
        <x:v>Unassigned</x:v>
      </x:c>
      <x:c r="N16" s="30" t="str">
        <x:v>LST-001,LST-002</x:v>
      </x:c>
    </x:row>
    <x:row r="17" ht="42" customHeight="1">
      <x:c r="A17" s="40" t="str">
        <x:v>MOD-001</x:v>
      </x:c>
      <x:c r="B17" s="40" t="str">
        <x:v>Moderation</x:v>
      </x:c>
      <x:c r="C17" s="40" t="str">
        <x:v>Manual moderation queue and reason codes</x:v>
      </x:c>
      <x:c r="D17" s="40" t="str">
        <x:v>S3</x:v>
      </x:c>
      <x:c r="E17" s="40" t="str">
        <x:v>P0</x:v>
      </x:c>
      <x:c r="F17" s="40" t="str">
        <x:v>Marketplace moderator</x:v>
      </x:c>
      <x:c r="G17" s="40" t="str">
        <x:v>Approval/rejection/appeal audited; misleading photos and duplicate listings flagged; unpublished cannot surface.</x:v>
      </x:c>
      <x:c r="H17" s="40" t="str">
        <x:v>moderation_case, report</x:v>
      </x:c>
      <x:c r="I17" s="40" t="str">
        <x:v>POST /v1/admin/listings/{id}/decision</x:v>
      </x:c>
      <x:c r="J17" s="40" t="str">
        <x:v>LST-101</x:v>
      </x:c>
      <x:c r="K17" s="40" t="str">
        <x:v>L</x:v>
      </x:c>
      <x:c r="L17" s="40" t="str">
        <x:v>Not started</x:v>
      </x:c>
      <x:c r="M17" s="40" t="str">
        <x:v>Unassigned</x:v>
      </x:c>
      <x:c r="N17" s="40" t="str">
        <x:v>TRU-005,ADM-005</x:v>
      </x:c>
    </x:row>
    <x:row r="18" ht="42" customHeight="1">
      <x:c r="A18" s="30" t="str">
        <x:v>LST-102</x:v>
      </x:c>
      <x:c r="B18" s="30" t="str">
        <x:v>Listings</x:v>
      </x:c>
      <x:c r="C18" s="30" t="str">
        <x:v>Listing lifecycle, stock state sync and events</x:v>
      </x:c>
      <x:c r="D18" s="30" t="str">
        <x:v>S3</x:v>
      </x:c>
      <x:c r="E18" s="30" t="str">
        <x:v>P0</x:v>
      </x:c>
      <x:c r="F18" s="30" t="str">
        <x:v>Inventory manager</x:v>
      </x:c>
      <x:c r="G18" s="30" t="str">
        <x:v>Reserved/sold/paused stock removes purchase CTA immediately and public index typically within 60s; retry and reconcile.</x:v>
      </x:c>
      <x:c r="H18" s="30" t="str">
        <x:v>listing, outbox_event, search_projection</x:v>
      </x:c>
      <x:c r="I18" s="30" t="str">
        <x:v>POST /v1/dealer/listings/{id}/publish</x:v>
      </x:c>
      <x:c r="J18" s="30" t="str">
        <x:v>INV-102,MOD-001</x:v>
      </x:c>
      <x:c r="K18" s="30" t="str">
        <x:v>L</x:v>
      </x:c>
      <x:c r="L18" s="30" t="str">
        <x:v>Not started</x:v>
      </x:c>
      <x:c r="M18" s="30" t="str">
        <x:v>Unassigned</x:v>
      </x:c>
      <x:c r="N18" s="30" t="str">
        <x:v>LST-004,LST-005,LST-008</x:v>
      </x:c>
    </x:row>
    <x:row r="19" ht="42" customHeight="1">
      <x:c r="A19" s="40" t="str">
        <x:v>LST-103</x:v>
      </x:c>
      <x:c r="B19" s="40" t="str">
        <x:v>Listings</x:v>
      </x:c>
      <x:c r="C19" s="40" t="str">
        <x:v>Duplicate detection and disclaimer rules</x:v>
      </x:c>
      <x:c r="D19" s="40" t="str">
        <x:v>S3</x:v>
      </x:c>
      <x:c r="E19" s="40" t="str">
        <x:v>P0</x:v>
      </x:c>
      <x:c r="F19" s="40" t="str">
        <x:v>Marketplace moderator</x:v>
      </x:c>
      <x:c r="G19" s="40" t="str">
        <x:v>Active duplicate VIN across sellers, duplicated photos and suspicious prices are reviewed; disclosures are explicit.</x:v>
      </x:c>
      <x:c r="H19" s="40" t="str">
        <x:v>listing_flag, vin_index</x:v>
      </x:c>
      <x:c r="I19" s="40" t="str">
        <x:v>GET /v1/admin/listing-flags</x:v>
      </x:c>
      <x:c r="J19" s="40" t="str">
        <x:v>LST-101</x:v>
      </x:c>
      <x:c r="K19" s="40" t="str">
        <x:v>M</x:v>
      </x:c>
      <x:c r="L19" s="40" t="str">
        <x:v>Not started</x:v>
      </x:c>
      <x:c r="M19" s="40" t="str">
        <x:v>Unassigned</x:v>
      </x:c>
      <x:c r="N19" s="40" t="str">
        <x:v>LST-007,LST-009</x:v>
      </x:c>
    </x:row>
    <x:row r="20" ht="42" customHeight="1">
      <x:c r="A20" s="30" t="str">
        <x:v>OPS-002</x:v>
      </x:c>
      <x:c r="B20" s="30" t="str">
        <x:v>Operations</x:v>
      </x:c>
      <x:c r="C20" s="30" t="str">
        <x:v>Feed reconciliation and stale stock incidents</x:v>
      </x:c>
      <x:c r="D20" s="30" t="str">
        <x:v>S3</x:v>
      </x:c>
      <x:c r="E20" s="30" t="str">
        <x:v>P0</x:v>
      </x:c>
      <x:c r="F20" s="30" t="str">
        <x:v>Platform ops</x:v>
      </x:c>
      <x:c r="G20" s="30" t="str">
        <x:v>Nightly inventory-listing diff plus alert on event delivery failures and expired listings.</x:v>
      </x:c>
      <x:c r="H20" s="30" t="str">
        <x:v>reconciliation_run, incident</x:v>
      </x:c>
      <x:c r="I20" s="30" t="str">
        <x:v>GET /v1/admin/inventory-sync</x:v>
      </x:c>
      <x:c r="J20" s="30" t="str">
        <x:v>LST-102</x:v>
      </x:c>
      <x:c r="K20" s="30" t="str">
        <x:v>M</x:v>
      </x:c>
      <x:c r="L20" s="30" t="str">
        <x:v>Not started</x:v>
      </x:c>
      <x:c r="M20" s="30" t="str">
        <x:v>Unassigned</x:v>
      </x:c>
      <x:c r="N20" s="30" t="str">
        <x:v>ANL-006</x:v>
      </x:c>
    </x:row>
    <x:row r="21" ht="42" customHeight="1">
      <x:c r="A21" s="40" t="str">
        <x:v>WEB-001</x:v>
      </x:c>
      <x:c r="B21" s="40" t="str">
        <x:v>Public marketplace</x:v>
      </x:c>
      <x:c r="C21" s="40" t="str">
        <x:v>Car browse, search filters and sort</x:v>
      </x:c>
      <x:c r="D21" s="40" t="str">
        <x:v>S4</x:v>
      </x:c>
      <x:c r="E21" s="40" t="str">
        <x:v>P0</x:v>
      </x:c>
      <x:c r="F21" s="40" t="str">
        <x:v>Guest</x:v>
      </x:c>
      <x:c r="G21" s="40" t="str">
        <x:v>Filters applied together; query returns published, current UAE listings only; sponsored results labeled.</x:v>
      </x:c>
      <x:c r="H21" s="40" t="str">
        <x:v>listing_search_projection</x:v>
      </x:c>
      <x:c r="I21" s="40" t="str">
        <x:v>GET /v1/public/listings</x:v>
      </x:c>
      <x:c r="J21" s="40" t="str">
        <x:v>LST-102</x:v>
      </x:c>
      <x:c r="K21" s="40" t="str">
        <x:v>L</x:v>
      </x:c>
      <x:c r="L21" s="40" t="str">
        <x:v>Not started</x:v>
      </x:c>
      <x:c r="M21" s="40" t="str">
        <x:v>Unassigned</x:v>
      </x:c>
      <x:c r="N21" s="40" t="str">
        <x:v>MKT-001,MKT-002,MKT-003</x:v>
      </x:c>
    </x:row>
    <x:row r="22" ht="42" customHeight="1">
      <x:c r="A22" s="30" t="str">
        <x:v>WEB-002</x:v>
      </x:c>
      <x:c r="B22" s="30" t="str">
        <x:v>Public marketplace</x:v>
      </x:c>
      <x:c r="C22" s="30" t="str">
        <x:v>Vehicle detail page with verified seller</x:v>
      </x:c>
      <x:c r="D22" s="30" t="str">
        <x:v>S4</x:v>
      </x:c>
      <x:c r="E22" s="30" t="str">
        <x:v>P0</x:v>
      </x:c>
      <x:c r="F22" s="30" t="str">
        <x:v>Guest</x:v>
      </x:c>
      <x:c r="G22" s="30" t="str">
        <x:v>Shows price in AED, location, GCC specs, source of claim, photos, availability and dealer storefront link.</x:v>
      </x:c>
      <x:c r="H22" s="30" t="str">
        <x:v>listing, media_asset, dealer_profile</x:v>
      </x:c>
      <x:c r="I22" s="30" t="str">
        <x:v>GET /v1/public/listings/{slug}</x:v>
      </x:c>
      <x:c r="J22" s="30" t="str">
        <x:v>WEB-001</x:v>
      </x:c>
      <x:c r="K22" s="30" t="str">
        <x:v>L</x:v>
      </x:c>
      <x:c r="L22" s="30" t="str">
        <x:v>Not started</x:v>
      </x:c>
      <x:c r="M22" s="30" t="str">
        <x:v>Unassigned</x:v>
      </x:c>
      <x:c r="N22" s="30" t="str">
        <x:v>MKT-005,EXP-002</x:v>
      </x:c>
    </x:row>
    <x:row r="23" ht="42" customHeight="1">
      <x:c r="A23" s="40" t="str">
        <x:v>WEB-003</x:v>
      </x:c>
      <x:c r="B23" s="40" t="str">
        <x:v>Public marketplace</x:v>
      </x:c>
      <x:c r="C23" s="40" t="str">
        <x:v>SEO, structured data and removed URLs</x:v>
      </x:c>
      <x:c r="D23" s="40" t="str">
        <x:v>S4</x:v>
      </x:c>
      <x:c r="E23" s="40" t="str">
        <x:v>P0</x:v>
      </x:c>
      <x:c r="F23" s="40" t="str">
        <x:v>Guest/search crawler</x:v>
      </x:c>
      <x:c r="G23" s="40" t="str">
        <x:v>Canonical city/model URLs; sitemap updated; sold listings removed or annotated per policy; no private URLs indexable.</x:v>
      </x:c>
      <x:c r="H23" s="40" t="str">
        <x:v>seo_slug, sitemap</x:v>
      </x:c>
      <x:c r="I23" s="40" t="str">
        <x:v>GET /sitemap.xml</x:v>
      </x:c>
      <x:c r="J23" s="40" t="str">
        <x:v>WEB-001</x:v>
      </x:c>
      <x:c r="K23" s="40" t="str">
        <x:v>M</x:v>
      </x:c>
      <x:c r="L23" s="40" t="str">
        <x:v>Not started</x:v>
      </x:c>
      <x:c r="M23" s="40" t="str">
        <x:v>Unassigned</x:v>
      </x:c>
      <x:c r="N23" s="40" t="str">
        <x:v>MKT-004,MKT-012,SOC-005</x:v>
      </x:c>
    </x:row>
    <x:row r="24" ht="42" customHeight="1">
      <x:c r="A24" s="30" t="str">
        <x:v>UX-001</x:v>
      </x:c>
      <x:c r="B24" s="30" t="str">
        <x:v>Public marketplace</x:v>
      </x:c>
      <x:c r="C24" s="30" t="str">
        <x:v>Responsive EN/AR accessibility pass</x:v>
      </x:c>
      <x:c r="D24" s="30" t="str">
        <x:v>S4</x:v>
      </x:c>
      <x:c r="E24" s="30" t="str">
        <x:v>P0</x:v>
      </x:c>
      <x:c r="F24" s="30" t="str">
        <x:v>Buyer</x:v>
      </x:c>
      <x:c r="G24" s="30" t="str">
        <x:v>AR RTL on mobile; keyboard navigation, aria labels and usable mobile filters tested.</x:v>
      </x:c>
      <x:c r="H24" s="30" t="str">
        <x:v>locale</x:v>
      </x:c>
      <x:c r="I24" s="30" t="str">
        <x:v>GET /v1/config/locales</x:v>
      </x:c>
      <x:c r="J24" s="30" t="str">
        <x:v>WEB-001</x:v>
      </x:c>
      <x:c r="K24" s="30" t="str">
        <x:v>M</x:v>
      </x:c>
      <x:c r="L24" s="30" t="str">
        <x:v>Not started</x:v>
      </x:c>
      <x:c r="M24" s="30" t="str">
        <x:v>Unassigned</x:v>
      </x:c>
      <x:c r="N24" s="30" t="str">
        <x:v>EXP-001,EXP-003</x:v>
      </x:c>
    </x:row>
    <x:row r="25" ht="42" customHeight="1">
      <x:c r="A25" s="40" t="str">
        <x:v>BUY-101</x:v>
      </x:c>
      <x:c r="B25" s="40" t="str">
        <x:v>Buyer identity</x:v>
      </x:c>
      <x:c r="C25" s="40" t="str">
        <x:v>Buying profile and preferences</x:v>
      </x:c>
      <x:c r="D25" s="40" t="str">
        <x:v>S5</x:v>
      </x:c>
      <x:c r="E25" s="40" t="str">
        <x:v>P0</x:v>
      </x:c>
      <x:c r="F25" s="40" t="str">
        <x:v>Buyer</x:v>
      </x:c>
      <x:c r="G25" s="40" t="str">
        <x:v>Buyer can manage budget, emirate, vehicle preferences and contact method; no dealer can browse profiles globally.</x:v>
      </x:c>
      <x:c r="H25" s="40" t="str">
        <x:v>buyer_profile, buyer_preference</x:v>
      </x:c>
      <x:c r="I25" s="40" t="str">
        <x:v>PATCH /v1/buyers/me</x:v>
      </x:c>
      <x:c r="J25" s="40" t="str">
        <x:v>IAM-001</x:v>
      </x:c>
      <x:c r="K25" s="40" t="str">
        <x:v>M</x:v>
      </x:c>
      <x:c r="L25" s="40" t="str">
        <x:v>Not started</x:v>
      </x:c>
      <x:c r="M25" s="40" t="str">
        <x:v>Unassigned</x:v>
      </x:c>
      <x:c r="N25" s="40" t="str">
        <x:v>BUY-002,BUY-003</x:v>
      </x:c>
    </x:row>
    <x:row r="26" ht="42" customHeight="1">
      <x:c r="A26" s="30" t="str">
        <x:v>BUY-102</x:v>
      </x:c>
      <x:c r="B26" s="30" t="str">
        <x:v>Buyer engagement</x:v>
      </x:c>
      <x:c r="C26" s="30" t="str">
        <x:v>Favorites, saved searches and price alerts</x:v>
      </x:c>
      <x:c r="D26" s="30" t="str">
        <x:v>S5</x:v>
      </x:c>
      <x:c r="E26" s="30" t="str">
        <x:v>P0</x:v>
      </x:c>
      <x:c r="F26" s="30" t="str">
        <x:v>Buyer</x:v>
      </x:c>
      <x:c r="G26" s="30" t="str">
        <x:v>Buyer saves/un-saves, creates named searches, explicitly opts into alerts and can disable independently.</x:v>
      </x:c>
      <x:c r="H26" s="30" t="str">
        <x:v>favorite, saved_search, notification_pref</x:v>
      </x:c>
      <x:c r="I26" s="30" t="str">
        <x:v>POST /v1/buyers/me/saved-searches</x:v>
      </x:c>
      <x:c r="J26" s="30" t="str">
        <x:v>BUY-101,WEB-001</x:v>
      </x:c>
      <x:c r="K26" s="30" t="str">
        <x:v>L</x:v>
      </x:c>
      <x:c r="L26" s="30" t="str">
        <x:v>Not started</x:v>
      </x:c>
      <x:c r="M26" s="30" t="str">
        <x:v>Unassigned</x:v>
      </x:c>
      <x:c r="N26" s="30" t="str">
        <x:v>BUY-004,BUY-005,EXP-005</x:v>
      </x:c>
    </x:row>
    <x:row r="27" ht="42" customHeight="1">
      <x:c r="A27" s="40" t="str">
        <x:v>BUY-103</x:v>
      </x:c>
      <x:c r="B27" s="40" t="str">
        <x:v>Buyer engagement</x:v>
      </x:c>
      <x:c r="C27" s="40" t="str">
        <x:v>Buyer journey dashboard</x:v>
      </x:c>
      <x:c r="D27" s="40" t="str">
        <x:v>S5</x:v>
      </x:c>
      <x:c r="E27" s="40" t="str">
        <x:v>P0</x:v>
      </x:c>
      <x:c r="F27" s="40" t="str">
        <x:v>Buyer</x:v>
      </x:c>
      <x:c r="G27" s="40" t="str">
        <x:v>Signed-in buyer can see their enquiries, conversations and appointments; no cross-user data.</x:v>
      </x:c>
      <x:c r="H27" s="40" t="str">
        <x:v>buyer_activity</x:v>
      </x:c>
      <x:c r="I27" s="40" t="str">
        <x:v>GET /v1/buyers/me/dashboard</x:v>
      </x:c>
      <x:c r="J27" s="40" t="str">
        <x:v>BUY-101</x:v>
      </x:c>
      <x:c r="K27" s="40" t="str">
        <x:v>M</x:v>
      </x:c>
      <x:c r="L27" s="40" t="str">
        <x:v>Not started</x:v>
      </x:c>
      <x:c r="M27" s="40" t="str">
        <x:v>Unassigned</x:v>
      </x:c>
      <x:c r="N27" s="40" t="str">
        <x:v>BUY-006</x:v>
      </x:c>
    </x:row>
    <x:row r="28" ht="42" customHeight="1">
      <x:c r="A28" s="30" t="str">
        <x:v>PRV-001</x:v>
      </x:c>
      <x:c r="B28" s="30" t="str">
        <x:v>Privacy</x:v>
      </x:c>
      <x:c r="C28" s="30" t="str">
        <x:v>Purpose-bound consent capture and history</x:v>
      </x:c>
      <x:c r="D28" s="30" t="str">
        <x:v>S5</x:v>
      </x:c>
      <x:c r="E28" s="30" t="str">
        <x:v>P0</x:v>
      </x:c>
      <x:c r="F28" s="30" t="str">
        <x:v>Buyer</x:v>
      </x:c>
      <x:c r="G28" s="30" t="str">
        <x:v>Marketing, partner-share and notifications separate with timestamps, version, source and withdrawal log.</x:v>
      </x:c>
      <x:c r="H28" s="30" t="str">
        <x:v>consent_event, consent_grant</x:v>
      </x:c>
      <x:c r="I28" s="30" t="str">
        <x:v>POST /v1/buyers/me/consents</x:v>
      </x:c>
      <x:c r="J28" s="30" t="str">
        <x:v>BUY-101</x:v>
      </x:c>
      <x:c r="K28" s="30" t="str">
        <x:v>L</x:v>
      </x:c>
      <x:c r="L28" s="30" t="str">
        <x:v>Not started</x:v>
      </x:c>
      <x:c r="M28" s="30" t="str">
        <x:v>Unassigned</x:v>
      </x:c>
      <x:c r="N28" s="30" t="str">
        <x:v>BUY-011,SOC-003,SOC-004</x:v>
      </x:c>
    </x:row>
    <x:row r="29" ht="42" customHeight="1">
      <x:c r="A29" s="40" t="str">
        <x:v>LEA-101</x:v>
      </x:c>
      <x:c r="B29" s="40" t="str">
        <x:v>Leads</x:v>
      </x:c>
      <x:c r="C29" s="40" t="str">
        <x:v>Buyer enquiry with minimal data sharing</x:v>
      </x:c>
      <x:c r="D29" s="40" t="str">
        <x:v>S6</x:v>
      </x:c>
      <x:c r="E29" s="40" t="str">
        <x:v>P0</x:v>
      </x:c>
      <x:c r="F29" s="40" t="str">
        <x:v>Buyer</x:v>
      </x:c>
      <x:c r="G29" s="40" t="str">
        <x:v>Listing enquiry requires anti-spam; creates dealer CRM lead only for target tenant; consent purpose/snapshot stored.</x:v>
      </x:c>
      <x:c r="H29" s="40" t="str">
        <x:v>enquiry, lead, consent_grant</x:v>
      </x:c>
      <x:c r="I29" s="40" t="str">
        <x:v>POST /v1/public/listings/{id}/enquiries</x:v>
      </x:c>
      <x:c r="J29" s="40" t="str">
        <x:v>PRV-001,WEB-002</x:v>
      </x:c>
      <x:c r="K29" s="40" t="str">
        <x:v>L</x:v>
      </x:c>
      <x:c r="L29" s="40" t="str">
        <x:v>Not started</x:v>
      </x:c>
      <x:c r="M29" s="40" t="str">
        <x:v>Unassigned</x:v>
      </x:c>
      <x:c r="N29" s="40" t="str">
        <x:v>LEA-001,LEA-006</x:v>
      </x:c>
    </x:row>
    <x:row r="30" ht="42" customHeight="1">
      <x:c r="A30" s="30" t="str">
        <x:v>LEA-102</x:v>
      </x:c>
      <x:c r="B30" s="30" t="str">
        <x:v>Leads</x:v>
      </x:c>
      <x:c r="C30" s="30" t="str">
        <x:v>Dealer lead routing and assignment</x:v>
      </x:c>
      <x:c r="D30" s="30" t="str">
        <x:v>S6</x:v>
      </x:c>
      <x:c r="E30" s="30" t="str">
        <x:v>P0</x:v>
      </x:c>
      <x:c r="F30" s="30" t="str">
        <x:v>Dealer manager</x:v>
      </x:c>
      <x:c r="G30" s="30" t="str">
        <x:v>Lead assigned to branch/team or fallback queue; deduplicated idempotently; dealer receives minimal required contact fields.</x:v>
      </x:c>
      <x:c r="H30" s="30" t="str">
        <x:v>lead, assignment_rule, lead_assignment</x:v>
      </x:c>
      <x:c r="I30" s="30" t="str">
        <x:v>POST /v1/dealer/leads/{id}/assign</x:v>
      </x:c>
      <x:c r="J30" s="30" t="str">
        <x:v>LEA-101</x:v>
      </x:c>
      <x:c r="K30" s="30" t="str">
        <x:v>L</x:v>
      </x:c>
      <x:c r="L30" s="30" t="str">
        <x:v>Not started</x:v>
      </x:c>
      <x:c r="M30" s="30" t="str">
        <x:v>Unassigned</x:v>
      </x:c>
      <x:c r="N30" s="30" t="str">
        <x:v>LEA-002,LEA-007,CRM-004</x:v>
      </x:c>
    </x:row>
    <x:row r="31" ht="42" customHeight="1">
      <x:c r="A31" s="40" t="str">
        <x:v>CRM-101</x:v>
      </x:c>
      <x:c r="B31" s="40" t="str">
        <x:v>Dealer CRM</x:v>
      </x:c>
      <x:c r="C31" s="40" t="str">
        <x:v>Pipeline, interactions and lead outcomes</x:v>
      </x:c>
      <x:c r="D31" s="40" t="str">
        <x:v>S6</x:v>
      </x:c>
      <x:c r="E31" s="40" t="str">
        <x:v>P0</x:v>
      </x:c>
      <x:c r="F31" s="40" t="str">
        <x:v>Sales agent</x:v>
      </x:c>
      <x:c r="G31" s="40" t="str">
        <x:v>Lead in new/contacted/test-drive/qualified/won/lost; stage history, follow-up tasks and reasons retained.</x:v>
      </x:c>
      <x:c r="H31" s="40" t="str">
        <x:v>dealer_contact, opportunity, activity</x:v>
      </x:c>
      <x:c r="I31" s="40" t="str">
        <x:v>PATCH /v1/dealer/leads/{id}</x:v>
      </x:c>
      <x:c r="J31" s="40" t="str">
        <x:v>LEA-102</x:v>
      </x:c>
      <x:c r="K31" s="40" t="str">
        <x:v>L</x:v>
      </x:c>
      <x:c r="L31" s="40" t="str">
        <x:v>Not started</x:v>
      </x:c>
      <x:c r="M31" s="40" t="str">
        <x:v>Unassigned</x:v>
      </x:c>
      <x:c r="N31" s="40" t="str">
        <x:v>CRM-001,CRM-002,CRM-005</x:v>
      </x:c>
    </x:row>
    <x:row r="32" ht="42" customHeight="1">
      <x:c r="A32" s="30" t="str">
        <x:v>MSG-001</x:v>
      </x:c>
      <x:c r="B32" s="30" t="str">
        <x:v>Communications</x:v>
      </x:c>
      <x:c r="C32" s="30" t="str">
        <x:v>Protected messaging, report and block</x:v>
      </x:c>
      <x:c r="D32" s="30" t="str">
        <x:v>S6</x:v>
      </x:c>
      <x:c r="E32" s="30" t="str">
        <x:v>P0</x:v>
      </x:c>
      <x:c r="F32" s="30" t="str">
        <x:v>Buyer/dealer</x:v>
      </x:c>
      <x:c r="G32" s="30" t="str">
        <x:v>Conversation participants limited to buyer and seller tenant; spam limits; report/block and audit; phone hidden unless granted.</x:v>
      </x:c>
      <x:c r="H32" s="30" t="str">
        <x:v>conversation, message, report</x:v>
      </x:c>
      <x:c r="I32" s="30" t="str">
        <x:v>POST /v1/conversations/{id}/messages</x:v>
      </x:c>
      <x:c r="J32" s="30" t="str">
        <x:v>LEA-101</x:v>
      </x:c>
      <x:c r="K32" s="30" t="str">
        <x:v>L</x:v>
      </x:c>
      <x:c r="L32" s="30" t="str">
        <x:v>Not started</x:v>
      </x:c>
      <x:c r="M32" s="30" t="str">
        <x:v>Unassigned</x:v>
      </x:c>
      <x:c r="N32" s="30" t="str">
        <x:v>LEA-003,TRU-006</x:v>
      </x:c>
    </x:row>
    <x:row r="33" ht="42" customHeight="1">
      <x:c r="A33" s="40" t="str">
        <x:v>NOT-001</x:v>
      </x:c>
      <x:c r="B33" s="40" t="str">
        <x:v>Communications</x:v>
      </x:c>
      <x:c r="C33" s="40" t="str">
        <x:v>Transactional notifications and preferences</x:v>
      </x:c>
      <x:c r="D33" s="40" t="str">
        <x:v>S6</x:v>
      </x:c>
      <x:c r="E33" s="40" t="str">
        <x:v>P0</x:v>
      </x:c>
      <x:c r="F33" s="40" t="str">
        <x:v>Buyer/dealer</x:v>
      </x:c>
      <x:c r="G33" s="40" t="str">
        <x:v>Emails/notifications queued with retries and dedupe; no marketing without opted-in consent.</x:v>
      </x:c>
      <x:c r="H33" s="40" t="str">
        <x:v>notification, notification_delivery</x:v>
      </x:c>
      <x:c r="I33" s="40" t="str">
        <x:v>GET /v1/buyers/me/notifications</x:v>
      </x:c>
      <x:c r="J33" s="40" t="str">
        <x:v>LEA-101,PRV-001</x:v>
      </x:c>
      <x:c r="K33" s="40" t="str">
        <x:v>M</x:v>
      </x:c>
      <x:c r="L33" s="40" t="str">
        <x:v>Not started</x:v>
      </x:c>
      <x:c r="M33" s="40" t="str">
        <x:v>Unassigned</x:v>
      </x:c>
      <x:c r="N33" s="40" t="str">
        <x:v>EXP-005,LEA-002</x:v>
      </x:c>
    </x:row>
    <x:row r="34" ht="42" customHeight="1">
      <x:c r="A34" s="30" t="str">
        <x:v>APT-101</x:v>
      </x:c>
      <x:c r="B34" s="30" t="str">
        <x:v>Appointments</x:v>
      </x:c>
      <x:c r="C34" s="30" t="str">
        <x:v>Dealer availability and test-drive booking</x:v>
      </x:c>
      <x:c r="D34" s="30" t="str">
        <x:v>S7</x:v>
      </x:c>
      <x:c r="E34" s="30" t="str">
        <x:v>P0</x:v>
      </x:c>
      <x:c r="F34" s="30" t="str">
        <x:v>Buyer/sales agent</x:v>
      </x:c>
      <x:c r="G34" s="30" t="str">
        <x:v>Buyer requests slot; dealer confirms/reschedules; double booking blocked; timezone Asia/Dubai.</x:v>
      </x:c>
      <x:c r="H34" s="30" t="str">
        <x:v>availability_slot, appointment</x:v>
      </x:c>
      <x:c r="I34" s="30" t="str">
        <x:v>POST /v1/listings/{id}/test-drives</x:v>
      </x:c>
      <x:c r="J34" s="30" t="str">
        <x:v>CRM-101</x:v>
      </x:c>
      <x:c r="K34" s="30" t="str">
        <x:v>L</x:v>
      </x:c>
      <x:c r="L34" s="30" t="str">
        <x:v>Not started</x:v>
      </x:c>
      <x:c r="M34" s="30" t="str">
        <x:v>Unassigned</x:v>
      </x:c>
      <x:c r="N34" s="30" t="str">
        <x:v>LEA-004,LEA-005,SAL-003</x:v>
      </x:c>
    </x:row>
    <x:row r="35" ht="42" customHeight="1">
      <x:c r="A35" s="40" t="str">
        <x:v>SLS-101</x:v>
      </x:c>
      <x:c r="B35" s="40" t="str">
        <x:v>Dealer sales</x:v>
      </x:c>
      <x:c r="C35" s="40" t="str">
        <x:v>Quotation and offer pipeline</x:v>
      </x:c>
      <x:c r="D35" s="40" t="str">
        <x:v>S7</x:v>
      </x:c>
      <x:c r="E35" s="40" t="str">
        <x:v>P0</x:v>
      </x:c>
      <x:c r="F35" s="40" t="str">
        <x:v>Sales agent</x:v>
      </x:c>
      <x:c r="G35" s="40" t="str">
        <x:v>Quote references stock and lead; AED, tax treatment and assumptions explicit; approval required for excessive discount.</x:v>
      </x:c>
      <x:c r="H35" s="40" t="str">
        <x:v>quotation, quotation_line, approval</x:v>
      </x:c>
      <x:c r="I35" s="40" t="str">
        <x:v>POST /v1/dealer/quotations</x:v>
      </x:c>
      <x:c r="J35" s="40" t="str">
        <x:v>INV-102,CRM-101</x:v>
      </x:c>
      <x:c r="K35" s="40" t="str">
        <x:v>L</x:v>
      </x:c>
      <x:c r="L35" s="40" t="str">
        <x:v>Not started</x:v>
      </x:c>
      <x:c r="M35" s="40" t="str">
        <x:v>Unassigned</x:v>
      </x:c>
      <x:c r="N35" s="40" t="str">
        <x:v>SAL-001,SAL-004</x:v>
      </x:c>
    </x:row>
    <x:row r="36" ht="42" customHeight="1">
      <x:c r="A36" s="30" t="str">
        <x:v>INS-101</x:v>
      </x:c>
      <x:c r="B36" s="30" t="str">
        <x:v>Buyer tools</x:v>
      </x:c>
      <x:c r="C36" s="30" t="str">
        <x:v>Indicative payment estimate with disclaimers</x:v>
      </x:c>
      <x:c r="D36" s="30" t="str">
        <x:v>S7</x:v>
      </x:c>
      <x:c r="E36" s="30" t="str">
        <x:v>P0</x:v>
      </x:c>
      <x:c r="F36" s="30" t="str">
        <x:v>Buyer</x:v>
      </x:c>
      <x:c r="G36" s="30" t="str">
        <x:v>Monthly estimate based on assumptions, clearly nonbinding; no loan submission or approval implied.</x:v>
      </x:c>
      <x:c r="H36" s="30" t="str">
        <x:v>finance_estimate</x:v>
      </x:c>
      <x:c r="I36" s="30" t="str">
        <x:v>POST /v1/public/finance/estimate</x:v>
      </x:c>
      <x:c r="J36" s="30" t="str">
        <x:v>WEB-002</x:v>
      </x:c>
      <x:c r="K36" s="30" t="str">
        <x:v>S</x:v>
      </x:c>
      <x:c r="L36" s="30" t="str">
        <x:v>Not started</x:v>
      </x:c>
      <x:c r="M36" s="30" t="str">
        <x:v>Unassigned</x:v>
      </x:c>
      <x:c r="N36" s="30" t="str">
        <x:v>INS-001</x:v>
      </x:c>
    </x:row>
    <x:row r="37" ht="42" customHeight="1">
      <x:c r="A37" s="40" t="str">
        <x:v>LEA-103</x:v>
      </x:c>
      <x:c r="B37" s="40" t="str">
        <x:v>Leads</x:v>
      </x:c>
      <x:c r="C37" s="40" t="str">
        <x:v>Response SLA monitoring and escalation</x:v>
      </x:c>
      <x:c r="D37" s="40" t="str">
        <x:v>S7</x:v>
      </x:c>
      <x:c r="E37" s="40" t="str">
        <x:v>P0</x:v>
      </x:c>
      <x:c r="F37" s="40" t="str">
        <x:v>Sales manager</x:v>
      </x:c>
      <x:c r="G37" s="40" t="str">
        <x:v>Trigger configurable SLA notifications for unanswered leads; track first response timestamp and business hours.</x:v>
      </x:c>
      <x:c r="H37" s="40" t="str">
        <x:v>lead_sla_event</x:v>
      </x:c>
      <x:c r="I37" s="40" t="str">
        <x:v>GET /v1/dealer/leads/overdue</x:v>
      </x:c>
      <x:c r="J37" s="40" t="str">
        <x:v>LEA-102</x:v>
      </x:c>
      <x:c r="K37" s="40" t="str">
        <x:v>M</x:v>
      </x:c>
      <x:c r="L37" s="40" t="str">
        <x:v>Not started</x:v>
      </x:c>
      <x:c r="M37" s="40" t="str">
        <x:v>Unassigned</x:v>
      </x:c>
      <x:c r="N37" s="40" t="str">
        <x:v>LEA-007</x:v>
      </x:c>
    </x:row>
    <x:row r="38" ht="42" customHeight="1">
      <x:c r="A38" s="30" t="str">
        <x:v>BIL-101</x:v>
      </x:c>
      <x:c r="B38" s="30" t="str">
        <x:v>Billing</x:v>
      </x:c>
      <x:c r="C38" s="30" t="str">
        <x:v>Plans, quotas and entitlements</x:v>
      </x:c>
      <x:c r="D38" s="30" t="str">
        <x:v>S8</x:v>
      </x:c>
      <x:c r="E38" s="30" t="str">
        <x:v>P0</x:v>
      </x:c>
      <x:c r="F38" s="30" t="str">
        <x:v>Platform admin/dealer owner</x:v>
      </x:c>
      <x:c r="G38" s="30" t="str">
        <x:v>Active listings, seats, branches gated by plan; upgrades update rules immediately with auditable overrides.</x:v>
      </x:c>
      <x:c r="H38" s="30" t="str">
        <x:v>plan, entitlement, quota</x:v>
      </x:c>
      <x:c r="I38" s="30" t="str">
        <x:v>GET /v1/dealer/subscription</x:v>
      </x:c>
      <x:c r="J38" s="30" t="str">
        <x:v>IAM-002</x:v>
      </x:c>
      <x:c r="K38" s="30" t="str">
        <x:v>L</x:v>
      </x:c>
      <x:c r="L38" s="30" t="str">
        <x:v>Not started</x:v>
      </x:c>
      <x:c r="M38" s="30" t="str">
        <x:v>Unassigned</x:v>
      </x:c>
      <x:c r="N38" s="30" t="str">
        <x:v>PAY-001,PAY-004</x:v>
      </x:c>
    </x:row>
    <x:row r="39" ht="42" customHeight="1">
      <x:c r="A39" s="40" t="str">
        <x:v>BIL-102</x:v>
      </x:c>
      <x:c r="B39" s="40" t="str">
        <x:v>Billing</x:v>
      </x:c>
      <x:c r="C39" s="40" t="str">
        <x:v>SaaS subscription checkout and invoicing</x:v>
      </x:c>
      <x:c r="D39" s="40" t="str">
        <x:v>S8</x:v>
      </x:c>
      <x:c r="E39" s="40" t="str">
        <x:v>P0</x:v>
      </x:c>
      <x:c r="F39" s="40" t="str">
        <x:v>Dealer owner</x:v>
      </x:c>
      <x:c r="G39" s="40" t="str">
        <x:v>Gateway webhooks verified and idempotent; invoice reference/amount/tax line displayed; retry and grace policy.</x:v>
      </x:c>
      <x:c r="H39" s="40" t="str">
        <x:v>subscription, invoice, webhook_inbox</x:v>
      </x:c>
      <x:c r="I39" s="40" t="str">
        <x:v>POST /v1/dealer/subscription/checkout</x:v>
      </x:c>
      <x:c r="J39" s="40" t="str">
        <x:v>BIL-101</x:v>
      </x:c>
      <x:c r="K39" s="40" t="str">
        <x:v>L</x:v>
      </x:c>
      <x:c r="L39" s="40" t="str">
        <x:v>Not started</x:v>
      </x:c>
      <x:c r="M39" s="40" t="str">
        <x:v>Unassigned</x:v>
      </x:c>
      <x:c r="N39" s="40" t="str">
        <x:v>PAY-002,PAY-003</x:v>
      </x:c>
    </x:row>
    <x:row r="40" ht="42" customHeight="1">
      <x:c r="A40" s="30" t="str">
        <x:v>BIL-103</x:v>
      </x:c>
      <x:c r="B40" s="30" t="str">
        <x:v>Billing</x:v>
      </x:c>
      <x:c r="C40" s="30" t="str">
        <x:v>Billing failure, grace and suspension policy</x:v>
      </x:c>
      <x:c r="D40" s="30" t="str">
        <x:v>S8</x:v>
      </x:c>
      <x:c r="E40" s="30" t="str">
        <x:v>P0</x:v>
      </x:c>
      <x:c r="F40" s="30" t="str">
        <x:v>Platform admin</x:v>
      </x:c>
      <x:c r="G40" s="30" t="str">
        <x:v>Failed renewal enters grace; restrict modifications when suspended; existing leads remain accessible as permitted.</x:v>
      </x:c>
      <x:c r="H40" s="30" t="str">
        <x:v>subscription_event</x:v>
      </x:c>
      <x:c r="I40" s="30" t="str">
        <x:v>GET /v1/admin/billing/overdue</x:v>
      </x:c>
      <x:c r="J40" s="30" t="str">
        <x:v>BIL-102</x:v>
      </x:c>
      <x:c r="K40" s="30" t="str">
        <x:v>M</x:v>
      </x:c>
      <x:c r="L40" s="30" t="str">
        <x:v>Not started</x:v>
      </x:c>
      <x:c r="M40" s="30" t="str">
        <x:v>Unassigned</x:v>
      </x:c>
      <x:c r="N40" s="30" t="str">
        <x:v>PAY-002,ADM-006</x:v>
      </x:c>
    </x:row>
    <x:row r="41" ht="42" customHeight="1">
      <x:c r="A41" s="40" t="str">
        <x:v>SUP-001</x:v>
      </x:c>
      <x:c r="B41" s="40" t="str">
        <x:v>Operations</x:v>
      </x:c>
      <x:c r="C41" s="40" t="str">
        <x:v>Support tickets, seller suspension and appeals</x:v>
      </x:c>
      <x:c r="D41" s="40" t="str">
        <x:v>S8</x:v>
      </x:c>
      <x:c r="E41" s="40" t="str">
        <x:v>P0</x:v>
      </x:c>
      <x:c r="F41" s="40" t="str">
        <x:v>Support agent</x:v>
      </x:c>
      <x:c r="G41" s="40" t="str">
        <x:v>All actions scoped; merchant support activity audited; appeals do not silently restore suspended listings.</x:v>
      </x:c>
      <x:c r="H41" s="40" t="str">
        <x:v>support_ticket, appeal</x:v>
      </x:c>
      <x:c r="I41" s="40" t="str">
        <x:v>POST /v1/support/tickets</x:v>
      </x:c>
      <x:c r="J41" s="40" t="str">
        <x:v>MOD-001,SEC-001</x:v>
      </x:c>
      <x:c r="K41" s="40" t="str">
        <x:v>M</x:v>
      </x:c>
      <x:c r="L41" s="40" t="str">
        <x:v>Not started</x:v>
      </x:c>
      <x:c r="M41" s="40" t="str">
        <x:v>Unassigned</x:v>
      </x:c>
      <x:c r="N41" s="40" t="str">
        <x:v>ADM-002,ADM-007</x:v>
      </x:c>
    </x:row>
    <x:row r="42" ht="42" customHeight="1">
      <x:c r="A42" s="30" t="str">
        <x:v>ANL-101</x:v>
      </x:c>
      <x:c r="B42" s="30" t="str">
        <x:v>Analytics</x:v>
      </x:c>
      <x:c r="C42" s="30" t="str">
        <x:v>Event taxonomy and marketplace funnel</x:v>
      </x:c>
      <x:c r="D42" s="30" t="str">
        <x:v>S9</x:v>
      </x:c>
      <x:c r="E42" s="30" t="str">
        <x:v>P0</x:v>
      </x:c>
      <x:c r="F42" s="30" t="str">
        <x:v>Product ops</x:v>
      </x:c>
      <x:c r="G42" s="30" t="str">
        <x:v>Search, impression, view, enquiry, appointment tracked without raw personal data in event payloads; dedupe.</x:v>
      </x:c>
      <x:c r="H42" s="30" t="str">
        <x:v>analytics_event, aggregate_metric</x:v>
      </x:c>
      <x:c r="I42" s="30" t="str">
        <x:v>POST /v1/events</x:v>
      </x:c>
      <x:c r="J42" s="30" t="str">
        <x:v>WEB-002,LEA-101</x:v>
      </x:c>
      <x:c r="K42" s="30" t="str">
        <x:v>L</x:v>
      </x:c>
      <x:c r="L42" s="30" t="str">
        <x:v>Not started</x:v>
      </x:c>
      <x:c r="M42" s="30" t="str">
        <x:v>Unassigned</x:v>
      </x:c>
      <x:c r="N42" s="30" t="str">
        <x:v>ANL-001,ANL-003</x:v>
      </x:c>
    </x:row>
    <x:row r="43" ht="42" customHeight="1">
      <x:c r="A43" s="40" t="str">
        <x:v>ANL-102</x:v>
      </x:c>
      <x:c r="B43" s="40" t="str">
        <x:v>Analytics</x:v>
      </x:c>
      <x:c r="C43" s="40" t="str">
        <x:v>Dealer stock/leads/conversion dashboard</x:v>
      </x:c>
      <x:c r="D43" s="40" t="str">
        <x:v>S9</x:v>
      </x:c>
      <x:c r="E43" s="40" t="str">
        <x:v>P0</x:v>
      </x:c>
      <x:c r="F43" s="40" t="str">
        <x:v>Dealer manager</x:v>
      </x:c>
      <x:c r="G43" s="40" t="str">
        <x:v>Branch-scoped leads, impressions, response SLA and basic stock age; consistent date range and time zone.</x:v>
      </x:c>
      <x:c r="H43" s="40" t="str">
        <x:v>dealer_daily_metric</x:v>
      </x:c>
      <x:c r="I43" s="40" t="str">
        <x:v>GET /v1/dealer/reports/overview</x:v>
      </x:c>
      <x:c r="J43" s="40" t="str">
        <x:v>ANL-101</x:v>
      </x:c>
      <x:c r="K43" s="40" t="str">
        <x:v>M</x:v>
      </x:c>
      <x:c r="L43" s="40" t="str">
        <x:v>Not started</x:v>
      </x:c>
      <x:c r="M43" s="40" t="str">
        <x:v>Unassigned</x:v>
      </x:c>
      <x:c r="N43" s="40" t="str">
        <x:v>ANL-002,RPT-001</x:v>
      </x:c>
    </x:row>
    <x:row r="44" ht="42" customHeight="1">
      <x:c r="A44" s="30" t="str">
        <x:v>ANL-103</x:v>
      </x:c>
      <x:c r="B44" s="30" t="str">
        <x:v>Analytics</x:v>
      </x:c>
      <x:c r="C44" s="30" t="str">
        <x:v>Platform oversight and health dashboards</x:v>
      </x:c>
      <x:c r="D44" s="30" t="str">
        <x:v>S9</x:v>
      </x:c>
      <x:c r="E44" s="30" t="str">
        <x:v>P0</x:v>
      </x:c>
      <x:c r="F44" s="30" t="str">
        <x:v>Platform admin</x:v>
      </x:c>
      <x:c r="G44" s="30" t="str">
        <x:v>Admin sees active verified stock, stale listings, feed errors, lead routing and fraud reports; alerts actionable.</x:v>
      </x:c>
      <x:c r="H44" s="30" t="str">
        <x:v>platform_daily_metric, incident</x:v>
      </x:c>
      <x:c r="I44" s="30" t="str">
        <x:v>GET /v1/admin/metrics/overview</x:v>
      </x:c>
      <x:c r="J44" s="30" t="str">
        <x:v>ANL-101,OPS-002</x:v>
      </x:c>
      <x:c r="K44" s="30" t="str">
        <x:v>M</x:v>
      </x:c>
      <x:c r="L44" s="30" t="str">
        <x:v>Not started</x:v>
      </x:c>
      <x:c r="M44" s="30" t="str">
        <x:v>Unassigned</x:v>
      </x:c>
      <x:c r="N44" s="30" t="str">
        <x:v>ADM-003,ANL-006</x:v>
      </x:c>
    </x:row>
    <x:row r="45" ht="42" customHeight="1">
      <x:c r="A45" s="40" t="str">
        <x:v>PRV-002</x:v>
      </x:c>
      <x:c r="B45" s="40" t="str">
        <x:v>Privacy</x:v>
      </x:c>
      <x:c r="C45" s="40" t="str">
        <x:v>Buyer data export, deletion and retention rules</x:v>
      </x:c>
      <x:c r="D45" s="40" t="str">
        <x:v>S9</x:v>
      </x:c>
      <x:c r="E45" s="40" t="str">
        <x:v>P0</x:v>
      </x:c>
      <x:c r="F45" s="40" t="str">
        <x:v>Buyer/privacy officer</x:v>
      </x:c>
      <x:c r="G45" s="40" t="str">
        <x:v>Authenticated request workflows; retained items documented; dealer copies not deleted without assessment; auditable actions.</x:v>
      </x:c>
      <x:c r="H45" s="40" t="str">
        <x:v>data_request, retention_policy</x:v>
      </x:c>
      <x:c r="I45" s="40" t="str">
        <x:v>POST /v1/buyers/me/data-requests</x:v>
      </x:c>
      <x:c r="J45" s="40" t="str">
        <x:v>PRV-001,SEC-001</x:v>
      </x:c>
      <x:c r="K45" s="40" t="str">
        <x:v>L</x:v>
      </x:c>
      <x:c r="L45" s="40" t="str">
        <x:v>Not started</x:v>
      </x:c>
      <x:c r="M45" s="40" t="str">
        <x:v>Unassigned</x:v>
      </x:c>
      <x:c r="N45" s="40" t="str">
        <x:v>SOC-004,BUY-011</x:v>
      </x:c>
    </x:row>
    <x:row r="46" ht="42" customHeight="1">
      <x:c r="A46" s="30" t="str">
        <x:v>SEC-002</x:v>
      </x:c>
      <x:c r="B46" s="30" t="str">
        <x:v>Security</x:v>
      </x:c>
      <x:c r="C46" s="30" t="str">
        <x:v>Security regression and data export controls</x:v>
      </x:c>
      <x:c r="D46" s="30" t="str">
        <x:v>S9</x:v>
      </x:c>
      <x:c r="E46" s="30" t="str">
        <x:v>P0</x:v>
      </x:c>
      <x:c r="F46" s="30" t="str">
        <x:v>Security</x:v>
      </x:c>
      <x:c r="G46" s="30" t="str">
        <x:v>Automated cross-tenant tests for all endpoints; export logged, privileged exports require explicit approval and rate caps.</x:v>
      </x:c>
      <x:c r="H46" s="30" t="str">
        <x:v>audit_event, export_job</x:v>
      </x:c>
      <x:c r="I46" s="30" t="str">
        <x:v>POST /v1/dealer/exports</x:v>
      </x:c>
      <x:c r="J46" s="30" t="str">
        <x:v>IAM-002</x:v>
      </x:c>
      <x:c r="K46" s="30" t="str">
        <x:v>M</x:v>
      </x:c>
      <x:c r="L46" s="30" t="str">
        <x:v>Not started</x:v>
      </x:c>
      <x:c r="M46" s="30" t="str">
        <x:v>Unassigned</x:v>
      </x:c>
      <x:c r="N46" s="30" t="str">
        <x:v>SOC-007,RPT-002</x:v>
      </x:c>
    </x:row>
    <x:row r="47" ht="42" customHeight="1">
      <x:c r="A47" s="40" t="str">
        <x:v>QA-001</x:v>
      </x:c>
      <x:c r="B47" s="40" t="str">
        <x:v>Quality</x:v>
      </x:c>
      <x:c r="C47" s="40" t="str">
        <x:v>End-to-end automation for buying journey</x:v>
      </x:c>
      <x:c r="D47" s="40" t="str">
        <x:v>S10</x:v>
      </x:c>
      <x:c r="E47" s="40" t="str">
        <x:v>P0</x:v>
      </x:c>
      <x:c r="F47" s="40" t="str">
        <x:v>QA</x:v>
      </x:c>
      <x:c r="G47" s="40" t="str">
        <x:v>E2E covers dealer approval &gt; inventory &gt; listing &gt; search &gt; enquiry &gt; appointment &gt; sale and fallback.</x:v>
      </x:c>
      <x:c r="H47" s="40" t="str">
        <x:v>test_fixture</x:v>
      </x:c>
      <x:c r="I47" s="40" t="str">
        <x:v>n/a</x:v>
      </x:c>
      <x:c r="J47" s="40" t="str">
        <x:v>APT-101,BIL-102,PRV-002</x:v>
      </x:c>
      <x:c r="K47" s="40" t="str">
        <x:v>L</x:v>
      </x:c>
      <x:c r="L47" s="40" t="str">
        <x:v>Not started</x:v>
      </x:c>
      <x:c r="M47" s="40" t="str">
        <x:v>Unassigned</x:v>
      </x:c>
      <x:c r="N47" s="40" t="str"/>
    </x:row>
    <x:row r="48" ht="42" customHeight="1">
      <x:c r="A48" s="30" t="str">
        <x:v>QA-002</x:v>
      </x:c>
      <x:c r="B48" s="30" t="str">
        <x:v>Quality</x:v>
      </x:c>
      <x:c r="C48" s="30" t="str">
        <x:v>Race, load and incident recovery tests</x:v>
      </x:c>
      <x:c r="D48" s="30" t="str">
        <x:v>S10</x:v>
      </x:c>
      <x:c r="E48" s="30" t="str">
        <x:v>P0</x:v>
      </x:c>
      <x:c r="F48" s="30" t="str">
        <x:v>QA/SRE</x:v>
      </x:c>
      <x:c r="G48" s="30" t="str">
        <x:v>Prove duplicate lead idempotency, sold status propagation, tenancy isolation, worker replay and rollback.</x:v>
      </x:c>
      <x:c r="H48" s="30" t="str">
        <x:v>load_test_result</x:v>
      </x:c>
      <x:c r="I48" s="30" t="str">
        <x:v>n/a</x:v>
      </x:c>
      <x:c r="J48" s="30" t="str">
        <x:v>QA-001</x:v>
      </x:c>
      <x:c r="K48" s="30" t="str">
        <x:v>L</x:v>
      </x:c>
      <x:c r="L48" s="30" t="str">
        <x:v>Not started</x:v>
      </x:c>
      <x:c r="M48" s="30" t="str">
        <x:v>Unassigned</x:v>
      </x:c>
      <x:c r="N48" s="30" t="str"/>
    </x:row>
    <x:row r="49" ht="42" customHeight="1">
      <x:c r="A49" s="40" t="str">
        <x:v>OPS-003</x:v>
      </x:c>
      <x:c r="B49" s="40" t="str">
        <x:v>Operations</x:v>
      </x:c>
      <x:c r="C49" s="40" t="str">
        <x:v>Operational playbooks and monitoring</x:v>
      </x:c>
      <x:c r="D49" s="40" t="str">
        <x:v>S10</x:v>
      </x:c>
      <x:c r="E49" s="40" t="str">
        <x:v>P0</x:v>
      </x:c>
      <x:c r="F49" s="40" t="str">
        <x:v>SRE</x:v>
      </x:c>
      <x:c r="G49" s="40" t="str">
        <x:v>Runbook for payment webhook failure, stuck sync, accidental publication, privacy request and security incident.</x:v>
      </x:c>
      <x:c r="H49" s="40" t="str">
        <x:v>runbook, alert_policy</x:v>
      </x:c>
      <x:c r="I49" s="40" t="str">
        <x:v>/health; /metrics</x:v>
      </x:c>
      <x:c r="J49" s="40" t="str">
        <x:v>ANL-103</x:v>
      </x:c>
      <x:c r="K49" s="40" t="str">
        <x:v>M</x:v>
      </x:c>
      <x:c r="L49" s="40" t="str">
        <x:v>Not started</x:v>
      </x:c>
      <x:c r="M49" s="40" t="str">
        <x:v>Unassigned</x:v>
      </x:c>
      <x:c r="N49" s="40" t="str"/>
    </x:row>
    <x:row r="50" ht="42" customHeight="1">
      <x:c r="A50" s="30" t="str">
        <x:v>GTM-001</x:v>
      </x:c>
      <x:c r="B50" s="30" t="str">
        <x:v>Go-to-market</x:v>
      </x:c>
      <x:c r="C50" s="30" t="str">
        <x:v>Dealer onboarding UX and training material</x:v>
      </x:c>
      <x:c r="D50" s="30" t="str">
        <x:v>S10</x:v>
      </x:c>
      <x:c r="E50" s="30" t="str">
        <x:v>P0</x:v>
      </x:c>
      <x:c r="F50" s="30" t="str">
        <x:v>Dealer owner</x:v>
      </x:c>
      <x:c r="G50" s="30" t="str">
        <x:v>Pilot dealer can complete setup and first listing with guided upload and no engineer intervention.</x:v>
      </x:c>
      <x:c r="H50" s="30" t="str">
        <x:v>help_article, onboarding_progress</x:v>
      </x:c>
      <x:c r="I50" s="30" t="str">
        <x:v>GET /v1/dealer/onboarding</x:v>
      </x:c>
      <x:c r="J50" s="30" t="str">
        <x:v>KYB-002,LST-101</x:v>
      </x:c>
      <x:c r="K50" s="30" t="str">
        <x:v>M</x:v>
      </x:c>
      <x:c r="L50" s="30" t="str">
        <x:v>Not started</x:v>
      </x:c>
      <x:c r="M50" s="30" t="str">
        <x:v>Unassigned</x:v>
      </x:c>
      <x:c r="N50" s="30" t="str"/>
    </x:row>
    <x:row r="51" ht="42" customHeight="1">
      <x:c r="A51" s="40" t="str">
        <x:v>PIL-001</x:v>
      </x:c>
      <x:c r="B51" s="40" t="str">
        <x:v>Pilot</x:v>
      </x:c>
      <x:c r="C51" s="40" t="str">
        <x:v>Controlled 10-dealer pilot with measurement</x:v>
      </x:c>
      <x:c r="D51" s="40" t="str">
        <x:v>S11</x:v>
      </x:c>
      <x:c r="E51" s="40" t="str">
        <x:v>P0</x:v>
      </x:c>
      <x:c r="F51" s="40" t="str">
        <x:v>Pilot dealers</x:v>
      </x:c>
      <x:c r="G51" s="40" t="str">
        <x:v>Enroll 10 dealers (planning hypothesis); review lead quality, moderation throughput, uptime and stuck inventory daily.</x:v>
      </x:c>
      <x:c r="H51" s="40" t="str">
        <x:v>pilot_run, feedback</x:v>
      </x:c>
      <x:c r="I51" s="40" t="str">
        <x:v>n/a</x:v>
      </x:c>
      <x:c r="J51" s="40" t="str">
        <x:v>QA-002,GTM-001</x:v>
      </x:c>
      <x:c r="K51" s="40" t="str">
        <x:v>L</x:v>
      </x:c>
      <x:c r="L51" s="40" t="str">
        <x:v>Not started</x:v>
      </x:c>
      <x:c r="M51" s="40" t="str">
        <x:v>Unassigned</x:v>
      </x:c>
      <x:c r="N51" s="40" t="str"/>
    </x:row>
    <x:row r="52" ht="42" customHeight="1">
      <x:c r="A52" s="30" t="str">
        <x:v>PIL-002</x:v>
      </x:c>
      <x:c r="B52" s="30" t="str">
        <x:v>Pilot</x:v>
      </x:c>
      <x:c r="C52" s="30" t="str">
        <x:v>Pilot security and data privacy go/no-go</x:v>
      </x:c>
      <x:c r="D52" s="30" t="str">
        <x:v>S11</x:v>
      </x:c>
      <x:c r="E52" s="30" t="str">
        <x:v>P0</x:v>
      </x:c>
      <x:c r="F52" s="30" t="str">
        <x:v>Platform owner</x:v>
      </x:c>
      <x:c r="G52" s="30" t="str">
        <x:v>No unresolved critical vulnerabilities; partner/merchant agreements and content policy reviewed; privacy requests rehearsed.</x:v>
      </x:c>
      <x:c r="H52" s="30" t="str">
        <x:v>release_approval</x:v>
      </x:c>
      <x:c r="I52" s="30" t="str">
        <x:v>n/a</x:v>
      </x:c>
      <x:c r="J52" s="30" t="str">
        <x:v>PIL-001,SEC-002</x:v>
      </x:c>
      <x:c r="K52" s="30" t="str">
        <x:v>M</x:v>
      </x:c>
      <x:c r="L52" s="30" t="str">
        <x:v>Not started</x:v>
      </x:c>
      <x:c r="M52" s="30" t="str">
        <x:v>Unassigned</x:v>
      </x:c>
      <x:c r="N52" s="30" t="str"/>
    </x:row>
    <x:row r="53" ht="42" customHeight="1">
      <x:c r="A53" s="40" t="str">
        <x:v>REL-001</x:v>
      </x:c>
      <x:c r="B53" s="40" t="str">
        <x:v>Launch</x:v>
      </x:c>
      <x:c r="C53" s="40" t="str">
        <x:v>UAE limited public release and support rotation</x:v>
      </x:c>
      <x:c r="D53" s="40" t="str">
        <x:v>S12</x:v>
      </x:c>
      <x:c r="E53" s="40" t="str">
        <x:v>P0</x:v>
      </x:c>
      <x:c r="F53" s="40" t="str">
        <x:v>Platform ops</x:v>
      </x:c>
      <x:c r="G53" s="40" t="str">
        <x:v>Go-live checklist approved; kill switch, listing withdrawals, production backups and customer support active.</x:v>
      </x:c>
      <x:c r="H53" s="40" t="str">
        <x:v>release, feature_flag</x:v>
      </x:c>
      <x:c r="I53" s="40" t="str">
        <x:v>n/a</x:v>
      </x:c>
      <x:c r="J53" s="40" t="str">
        <x:v>PIL-002</x:v>
      </x:c>
      <x:c r="K53" s="40" t="str">
        <x:v>L</x:v>
      </x:c>
      <x:c r="L53" s="40" t="str">
        <x:v>Not started</x:v>
      </x:c>
      <x:c r="M53" s="40" t="str">
        <x:v>Unassigned</x:v>
      </x:c>
      <x:c r="N53" s="40" t="str"/>
    </x:row>
    <x:row r="54" ht="42" customHeight="1">
      <x:c r="A54" s="30" t="str">
        <x:v>REL-002</x:v>
      </x:c>
      <x:c r="B54" s="30" t="str">
        <x:v>Launch</x:v>
      </x:c>
      <x:c r="C54" s="30" t="str">
        <x:v>Postlaunch funnel iteration and prioritized backlog</x:v>
      </x:c>
      <x:c r="D54" s="30" t="str">
        <x:v>S12</x:v>
      </x:c>
      <x:c r="E54" s="30" t="str">
        <x:v>P0</x:v>
      </x:c>
      <x:c r="F54" s="30" t="str">
        <x:v>Product</x:v>
      </x:c>
      <x:c r="G54" s="30" t="str">
        <x:v>Publish first 30-day KPI baseline and top three observed funnel losses; revise feature roadmap based on evidence.</x:v>
      </x:c>
      <x:c r="H54" s="30" t="str">
        <x:v>metric_review, experiment</x:v>
      </x:c>
      <x:c r="I54" s="30" t="str">
        <x:v>n/a</x:v>
      </x:c>
      <x:c r="J54" s="30" t="str">
        <x:v>REL-001</x:v>
      </x:c>
      <x:c r="K54" s="30" t="str">
        <x:v>M</x:v>
      </x:c>
      <x:c r="L54" s="30" t="str">
        <x:v>Not started</x:v>
      </x:c>
      <x:c r="M54" s="30" t="str">
        <x:v>Unassigned</x:v>
      </x:c>
      <x:c r="N54" s="30" t="str"/>
    </x:row>
    <x:row r="55" ht="42" customHeight="1">
      <x:c r="A55" s="40" t="str">
        <x:v>DMS-201</x:v>
      </x:c>
      <x:c r="B55" s="40" t="str">
        <x:v>Service</x:v>
      </x:c>
      <x:c r="C55" s="40" t="str">
        <x:v>Workshop job cards, bays and technician schedule</x:v>
      </x:c>
      <x:c r="D55" s="40" t="str">
        <x:v>Post-MVP</x:v>
      </x:c>
      <x:c r="E55" s="40" t="str">
        <x:v>P1</x:v>
      </x:c>
      <x:c r="F55" s="40" t="str">
        <x:v>Workshop manager</x:v>
      </x:c>
      <x:c r="G55" s="40" t="str">
        <x:v>Service booking creates assigned job card and actual technician time.</x:v>
      </x:c>
      <x:c r="H55" s="40" t="str">
        <x:v>job_card, bay, technician</x:v>
      </x:c>
      <x:c r="I55" s="40" t="str">
        <x:v>POST /v1/dealer/service/jobs</x:v>
      </x:c>
      <x:c r="J55" s="40" t="str">
        <x:v>REL-002</x:v>
      </x:c>
      <x:c r="K55" s="40" t="str">
        <x:v>L</x:v>
      </x:c>
      <x:c r="L55" s="40" t="str">
        <x:v>Not started</x:v>
      </x:c>
      <x:c r="M55" s="40" t="str">
        <x:v>Unassigned</x:v>
      </x:c>
      <x:c r="N55" s="40" t="str"/>
    </x:row>
    <x:row r="56" ht="42" customHeight="1">
      <x:c r="A56" s="30" t="str">
        <x:v>DMS-202</x:v>
      </x:c>
      <x:c r="B56" s="30" t="str">
        <x:v>Parts</x:v>
      </x:c>
      <x:c r="C56" s="30" t="str">
        <x:v>Parts catalogue, stock movements and reorder</x:v>
      </x:c>
      <x:c r="D56" s="30" t="str">
        <x:v>Post-MVP</x:v>
      </x:c>
      <x:c r="E56" s="30" t="str">
        <x:v>P1</x:v>
      </x:c>
      <x:c r="F56" s="30" t="str">
        <x:v>Parts manager</x:v>
      </x:c>
      <x:c r="G56" s="30" t="str">
        <x:v>Reservation and issue link to service job; negative stock forbidden.</x:v>
      </x:c>
      <x:c r="H56" s="30" t="str">
        <x:v>part, warehouse, movement</x:v>
      </x:c>
      <x:c r="I56" s="30" t="str">
        <x:v>POST /v1/dealer/parts/movements</x:v>
      </x:c>
      <x:c r="J56" s="30" t="str">
        <x:v>REL-002</x:v>
      </x:c>
      <x:c r="K56" s="30" t="str">
        <x:v>L</x:v>
      </x:c>
      <x:c r="L56" s="30" t="str">
        <x:v>Not started</x:v>
      </x:c>
      <x:c r="M56" s="30" t="str">
        <x:v>Unassigned</x:v>
      </x:c>
      <x:c r="N56" s="30" t="str"/>
    </x:row>
    <x:row r="57" ht="42" customHeight="1">
      <x:c r="A57" s="40" t="str">
        <x:v>DMS-203</x:v>
      </x:c>
      <x:c r="B57" s="40" t="str">
        <x:v>Accounting</x:v>
      </x:c>
      <x:c r="C57" s="40" t="str">
        <x:v>Dealer accounting and tax invoice export</x:v>
      </x:c>
      <x:c r="D57" s="40" t="str">
        <x:v>Post-MVP</x:v>
      </x:c>
      <x:c r="E57" s="40" t="str">
        <x:v>P1</x:v>
      </x:c>
      <x:c r="F57" s="40" t="str">
        <x:v>Accountant</x:v>
      </x:c>
      <x:c r="G57" s="40" t="str">
        <x:v>Invoices and journals reconcile by tenant and reflect configured UAE tax rules.</x:v>
      </x:c>
      <x:c r="H57" s="40" t="str">
        <x:v>invoice, journal</x:v>
      </x:c>
      <x:c r="I57" s="40" t="str">
        <x:v>POST /v1/dealer/invoices</x:v>
      </x:c>
      <x:c r="J57" s="40" t="str">
        <x:v>REL-002</x:v>
      </x:c>
      <x:c r="K57" s="40" t="str">
        <x:v>L</x:v>
      </x:c>
      <x:c r="L57" s="40" t="str">
        <x:v>Not started</x:v>
      </x:c>
      <x:c r="M57" s="40" t="str">
        <x:v>Unassigned</x:v>
      </x:c>
      <x:c r="N57" s="40" t="str"/>
    </x:row>
    <x:row r="58" ht="42" customHeight="1">
      <x:c r="A58" s="30" t="str">
        <x:v>DMS-204</x:v>
      </x:c>
      <x:c r="B58" s="30" t="str">
        <x:v>Sales</x:v>
      </x:c>
      <x:c r="C58" s="30" t="str">
        <x:v>Vehicle contracts, deposit and delivery workflow</x:v>
      </x:c>
      <x:c r="D58" s="30" t="str">
        <x:v>Post-MVP</x:v>
      </x:c>
      <x:c r="E58" s="30" t="str">
        <x:v>P1</x:v>
      </x:c>
      <x:c r="F58" s="30" t="str">
        <x:v>Sales manager</x:v>
      </x:c>
      <x:c r="G58" s="30" t="str">
        <x:v>Order handover checklist and deposit status recorded; no duplicate sold VIN.</x:v>
      </x:c>
      <x:c r="H58" s="30" t="str">
        <x:v>sales_order, deposit, delivery</x:v>
      </x:c>
      <x:c r="I58" s="30" t="str">
        <x:v>POST /v1/dealer/sales-orders</x:v>
      </x:c>
      <x:c r="J58" s="30" t="str">
        <x:v>REL-002</x:v>
      </x:c>
      <x:c r="K58" s="30" t="str">
        <x:v>L</x:v>
      </x:c>
      <x:c r="L58" s="30" t="str">
        <x:v>Not started</x:v>
      </x:c>
      <x:c r="M58" s="30" t="str">
        <x:v>Unassigned</x:v>
      </x:c>
      <x:c r="N58" s="30" t="str"/>
    </x:row>
    <x:row r="59" ht="42" customHeight="1">
      <x:c r="A59" s="40" t="str">
        <x:v>MKT-201</x:v>
      </x:c>
      <x:c r="B59" s="40" t="str">
        <x:v>Commerce</x:v>
      </x:c>
      <x:c r="C59" s="40" t="str">
        <x:v>Buyer offer/counteroffer and reservation</x:v>
      </x:c>
      <x:c r="D59" s="40" t="str">
        <x:v>Post-MVP</x:v>
      </x:c>
      <x:c r="E59" s="40" t="str">
        <x:v>P1</x:v>
      </x:c>
      <x:c r="F59" s="40" t="str">
        <x:v>Buyer</x:v>
      </x:c>
      <x:c r="G59" s="40" t="str">
        <x:v>Audited negotiation and expiry; no double-reserve.</x:v>
      </x:c>
      <x:c r="H59" s="40" t="str">
        <x:v>offer, reservation</x:v>
      </x:c>
      <x:c r="I59" s="40" t="str">
        <x:v>POST /v1/listings/{id}/offers</x:v>
      </x:c>
      <x:c r="J59" s="40" t="str">
        <x:v>REL-002</x:v>
      </x:c>
      <x:c r="K59" s="40" t="str">
        <x:v>L</x:v>
      </x:c>
      <x:c r="L59" s="40" t="str">
        <x:v>Not started</x:v>
      </x:c>
      <x:c r="M59" s="40" t="str">
        <x:v>Unassigned</x:v>
      </x:c>
      <x:c r="N59" s="40" t="str"/>
    </x:row>
    <x:row r="60" ht="42" customHeight="1">
      <x:c r="A60" s="30" t="str">
        <x:v>FIN-201</x:v>
      </x:c>
      <x:c r="B60" s="30" t="str">
        <x:v>Finance</x:v>
      </x:c>
      <x:c r="C60" s="30" t="str">
        <x:v>Lender referral integration with explicit consent</x:v>
      </x:c>
      <x:c r="D60" s="30" t="str">
        <x:v>Post-MVP</x:v>
      </x:c>
      <x:c r="E60" s="30" t="str">
        <x:v>P1</x:v>
      </x:c>
      <x:c r="F60" s="30" t="str">
        <x:v>Buyer</x:v>
      </x:c>
      <x:c r="G60" s="30" t="str">
        <x:v>No binding approval claimed; PII shared only with approved lender and consent.</x:v>
      </x:c>
      <x:c r="H60" s="30" t="str">
        <x:v>finance_referral</x:v>
      </x:c>
      <x:c r="I60" s="30" t="str">
        <x:v>POST /v1/buyers/me/finance-referrals</x:v>
      </x:c>
      <x:c r="J60" s="30" t="str">
        <x:v>REL-002</x:v>
      </x:c>
      <x:c r="K60" s="30" t="str">
        <x:v>L</x:v>
      </x:c>
      <x:c r="L60" s="30" t="str">
        <x:v>Not started</x:v>
      </x:c>
      <x:c r="M60" s="30" t="str">
        <x:v>Unassigned</x:v>
      </x:c>
      <x:c r="N60" s="30" t="str"/>
    </x:row>
    <x:row r="61" ht="42" customHeight="1">
      <x:c r="A61" s="40" t="str">
        <x:v>INSP-201</x:v>
      </x:c>
      <x:c r="B61" s="40" t="str">
        <x:v>Inspection</x:v>
      </x:c>
      <x:c r="C61" s="40" t="str">
        <x:v>Third-party vehicle inspection scheduling</x:v>
      </x:c>
      <x:c r="D61" s="40" t="str">
        <x:v>Post-MVP</x:v>
      </x:c>
      <x:c r="E61" s="40" t="str">
        <x:v>P1</x:v>
      </x:c>
      <x:c r="F61" s="40" t="str">
        <x:v>Buyer</x:v>
      </x:c>
      <x:c r="G61" s="40" t="str">
        <x:v>Provider access scoped to the booked car and inspection evidence.</x:v>
      </x:c>
      <x:c r="H61" s="40" t="str">
        <x:v>inspection_booking</x:v>
      </x:c>
      <x:c r="I61" s="40" t="str">
        <x:v>POST /v1/listings/{id}/inspections</x:v>
      </x:c>
      <x:c r="J61" s="40" t="str">
        <x:v>REL-002</x:v>
      </x:c>
      <x:c r="K61" s="40" t="str">
        <x:v>L</x:v>
      </x:c>
      <x:c r="L61" s="40" t="str">
        <x:v>Not started</x:v>
      </x:c>
      <x:c r="M61" s="40" t="str">
        <x:v>Unassigned</x:v>
      </x:c>
      <x:c r="N61" s="40" t="str"/>
    </x:row>
    <x:row r="62" ht="42" customHeight="1">
      <x:c r="A62" s="30" t="str">
        <x:v>OWN-201</x:v>
      </x:c>
      <x:c r="B62" s="30" t="str">
        <x:v>Ownership</x:v>
      </x:c>
      <x:c r="C62" s="30" t="str">
        <x:v>Service history and post-sale vehicle garage</x:v>
      </x:c>
      <x:c r="D62" s="30" t="str">
        <x:v>Post-MVP</x:v>
      </x:c>
      <x:c r="E62" s="30" t="str">
        <x:v>P1</x:v>
      </x:c>
      <x:c r="F62" s="30" t="str">
        <x:v>Buyer</x:v>
      </x:c>
      <x:c r="G62" s="30" t="str">
        <x:v>Vehicle ownership verified before private service history visible.</x:v>
      </x:c>
      <x:c r="H62" s="30" t="str">
        <x:v>buyer_vehicle, service_history</x:v>
      </x:c>
      <x:c r="I62" s="30" t="str">
        <x:v>GET /v1/buyers/me/garage</x:v>
      </x:c>
      <x:c r="J62" s="30" t="str">
        <x:v>REL-002</x:v>
      </x:c>
      <x:c r="K62" s="30" t="str">
        <x:v>L</x:v>
      </x:c>
      <x:c r="L62" s="30" t="str">
        <x:v>Not started</x:v>
      </x:c>
      <x:c r="M62" s="30" t="str">
        <x:v>Unassigned</x:v>
      </x:c>
      <x:c r="N62" s="30" t="str"/>
    </x:row>
    <x:row r="63" ht="42" customHeight="1">
      <x:c r="A63" s="40" t="str">
        <x:v>FLT-201</x:v>
      </x:c>
      <x:c r="B63" s="40" t="str">
        <x:v>Fleet</x:v>
      </x:c>
      <x:c r="C63" s="40" t="str">
        <x:v>Fleet contracts and corporate pricing</x:v>
      </x:c>
      <x:c r="D63" s="40" t="str">
        <x:v>Post-MVP</x:v>
      </x:c>
      <x:c r="E63" s="40" t="str">
        <x:v>P1</x:v>
      </x:c>
      <x:c r="F63" s="40" t="str">
        <x:v>Fleet manager</x:v>
      </x:c>
      <x:c r="G63" s="40" t="str">
        <x:v>Fleet-specific pricing never appears as consumer stock price.</x:v>
      </x:c>
      <x:c r="H63" s="40" t="str">
        <x:v>fleet_contract</x:v>
      </x:c>
      <x:c r="I63" s="40" t="str">
        <x:v>POST /v1/dealer/fleet-contracts</x:v>
      </x:c>
      <x:c r="J63" s="40" t="str">
        <x:v>REL-002</x:v>
      </x:c>
      <x:c r="K63" s="40" t="str">
        <x:v>L</x:v>
      </x:c>
      <x:c r="L63" s="40" t="str">
        <x:v>Not started</x:v>
      </x:c>
      <x:c r="M63" s="40" t="str">
        <x:v>Unassigned</x:v>
      </x:c>
      <x:c r="N63" s="40" t="str"/>
    </x:row>
    <x:row r="64" ht="42" customHeight="1">
      <x:c r="A64" s="30" t="str">
        <x:v>EXP-201</x:v>
      </x:c>
      <x:c r="B64" s="30" t="str">
        <x:v>Expansion</x:v>
      </x:c>
      <x:c r="C64" s="30" t="str">
        <x:v>Second-country launch configuration</x:v>
      </x:c>
      <x:c r="D64" s="30" t="str">
        <x:v>Post-MVP</x:v>
      </x:c>
      <x:c r="E64" s="30" t="str">
        <x:v>P1</x:v>
      </x:c>
      <x:c r="F64" s="30" t="str">
        <x:v>Platform admin</x:v>
      </x:c>
      <x:c r="G64" s="30" t="str">
        <x:v>New country uses isolated policy configuration and verified launch approvals.</x:v>
      </x:c>
      <x:c r="H64" s="30" t="str">
        <x:v>country_rule, market</x:v>
      </x:c>
      <x:c r="I64" s="30" t="str">
        <x:v>POST /v1/admin/markets</x:v>
      </x:c>
      <x:c r="J64" s="30" t="str">
        <x:v>REL-002</x:v>
      </x:c>
      <x:c r="K64" s="30" t="str">
        <x:v>L</x:v>
      </x:c>
      <x:c r="L64" s="30" t="str">
        <x:v>Not started</x:v>
      </x:c>
      <x:c r="M64" s="30" t="str">
        <x:v>Unassigned</x:v>
      </x:c>
      <x:c r="N64" s="30" t="str"/>
    </x:row>
  </x:sheetData>
  <x:conditionalFormatting sqref="L2:L100">
    <x:cfRule type="expression" dxfId="0" priority="1">
      <x:formula>L2="Blocked"</x:formula>
    </x:cfRule>
    <x:cfRule type="expression" dxfId="1" priority="2">
      <x:formula>L2="Done"</x:formula>
    </x:cfRule>
  </x:conditionalFormatting>
  <x:dataValidations count="3">
    <x:dataValidation type="list" sqref="E2:E100">
      <x:formula1>"P0,P1,P2"</x:formula1>
    </x:dataValidation>
    <x:dataValidation type="list" sqref="K2:K100">
      <x:formula1>"XS,S,M,L,XL"</x:formula1>
    </x:dataValidation>
    <x:dataValidation type="list" sqref="L2:L100">
      <x:formula1>"Not started,In progress,Blocked,In 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112b14c1ce473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53" hidden="0" customWidth="1"/>
    <x:col min="4" max="4" width="72" hidden="0" customWidth="1"/>
    <x:col min="5" max="5" width="13" hidden="0" customWidth="1"/>
    <x:col min="6" max="6" width="22" hidden="0" customWidth="1"/>
    <x:col min="7" max="7" width="18" hidden="0" customWidth="1"/>
  </x:cols>
  <x:sheetData>
    <x:row r="1" ht="32" customHeight="1">
      <x:c r="A1" s="35" t="str">
        <x:v>Sprint</x:v>
      </x:c>
      <x:c r="B1" s="35" t="str">
        <x:v>Track</x:v>
      </x:c>
      <x:c r="C1" s="35" t="str">
        <x:v>Focus</x:v>
      </x:c>
      <x:c r="D1" s="35" t="str">
        <x:v>Exit / demo</x:v>
      </x:c>
      <x:c r="E1" s="35" t="str">
        <x:v>Work items</x:v>
      </x:c>
      <x:c r="F1" s="35" t="str">
        <x:v>Planned length</x:v>
      </x:c>
      <x:c r="G1" s="35" t="str">
        <x:v>Status</x:v>
      </x:c>
    </x:row>
    <x:row r="2" ht="35" customHeight="1">
      <x:c r="A2" s="30" t="str">
        <x:v>S0</x:v>
      </x:c>
      <x:c r="B2" s="30" t="str">
        <x:v>Discovery &amp; setup</x:v>
      </x:c>
      <x:c r="C2" s="30" t="str">
        <x:v>Market configuration, architecture, legal/integration due diligence</x:v>
      </x:c>
      <x:c r="D2" s="30" t="str">
        <x:v>Environment and governance approved</x:v>
      </x:c>
      <x:c r="E2" s="42" t="n">
        <x:v>4</x:v>
      </x:c>
      <x:c r="F2" s="30" t="str">
        <x:v>2 weeks (assumption)</x:v>
      </x:c>
      <x:c r="G2" s="30" t="str">
        <x:v>Not started</x:v>
      </x:c>
    </x:row>
    <x:row r="3" ht="35" customHeight="1">
      <x:c r="A3" s="40" t="str">
        <x:v>S1</x:v>
      </x:c>
      <x:c r="B3" s="40" t="str">
        <x:v>Identity &amp; tenancy</x:v>
      </x:c>
      <x:c r="C3" s="40" t="str">
        <x:v>Tenant, buyer/staff identity, permissions, audit, taxonomy</x:v>
      </x:c>
      <x:c r="D3" s="40" t="str">
        <x:v>Cross-tenant tests passing</x:v>
      </x:c>
      <x:c r="E3" s="43" t="n">
        <x:v>5</x:v>
      </x:c>
      <x:c r="F3" s="40" t="str">
        <x:v>2 weeks (assumption)</x:v>
      </x:c>
      <x:c r="G3" s="40" t="str">
        <x:v>Not started</x:v>
      </x:c>
    </x:row>
    <x:row r="4" ht="35" customHeight="1">
      <x:c r="A4" s="30" t="str">
        <x:v>S2</x:v>
      </x:c>
      <x:c r="B4" s="30" t="str">
        <x:v>Verified inventory foundation</x:v>
      </x:c>
      <x:c r="C4" s="30" t="str">
        <x:v>KYB, storefront, stock, media, stock states</x:v>
      </x:c>
      <x:c r="D4" s="30" t="str">
        <x:v>Dealer can upload compliant stock privately</x:v>
      </x:c>
      <x:c r="E4" s="42" t="n">
        <x:v>5</x:v>
      </x:c>
      <x:c r="F4" s="30" t="str">
        <x:v>2 weeks (assumption)</x:v>
      </x:c>
      <x:c r="G4" s="30" t="str">
        <x:v>Not started</x:v>
      </x:c>
    </x:row>
    <x:row r="5" ht="35" customHeight="1">
      <x:c r="A5" s="40" t="str">
        <x:v>S3</x:v>
      </x:c>
      <x:c r="B5" s="40" t="str">
        <x:v>Publication safety</x:v>
      </x:c>
      <x:c r="C5" s="40" t="str">
        <x:v>Listings, moderation, deduplication, sync, reconciliation</x:v>
      </x:c>
      <x:c r="D5" s="40" t="str">
        <x:v>Approved live inventory matches sellable stock</x:v>
      </x:c>
      <x:c r="E5" s="43" t="n">
        <x:v>5</x:v>
      </x:c>
      <x:c r="F5" s="40" t="str">
        <x:v>2 weeks (assumption)</x:v>
      </x:c>
      <x:c r="G5" s="40" t="str">
        <x:v>Not started</x:v>
      </x:c>
    </x:row>
    <x:row r="6" ht="35" customHeight="1">
      <x:c r="A6" s="30" t="str">
        <x:v>S4</x:v>
      </x:c>
      <x:c r="B6" s="30" t="str">
        <x:v>Marketplace discovery</x:v>
      </x:c>
      <x:c r="C6" s="30" t="str">
        <x:v>Search, PDP, SEO, English/Arabic</x:v>
      </x:c>
      <x:c r="D6" s="30" t="str">
        <x:v>Guest can find verified UAE vehicle</x:v>
      </x:c>
      <x:c r="E6" s="42" t="n">
        <x:v>4</x:v>
      </x:c>
      <x:c r="F6" s="30" t="str">
        <x:v>2 weeks (assumption)</x:v>
      </x:c>
      <x:c r="G6" s="30" t="str">
        <x:v>Not started</x:v>
      </x:c>
    </x:row>
    <x:row r="7" ht="35" customHeight="1">
      <x:c r="A7" s="40" t="str">
        <x:v>S5</x:v>
      </x:c>
      <x:c r="B7" s="40" t="str">
        <x:v>Buyer engagement</x:v>
      </x:c>
      <x:c r="C7" s="40" t="str">
        <x:v>Profiles, favourites, searches, consent</x:v>
      </x:c>
      <x:c r="D7" s="40" t="str">
        <x:v>Buyer journey saved privately; consent auditable</x:v>
      </x:c>
      <x:c r="E7" s="43" t="n">
        <x:v>4</x:v>
      </x:c>
      <x:c r="F7" s="40" t="str">
        <x:v>2 weeks (assumption)</x:v>
      </x:c>
      <x:c r="G7" s="40" t="str">
        <x:v>Not started</x:v>
      </x:c>
    </x:row>
    <x:row r="8" ht="35" customHeight="1">
      <x:c r="A8" s="30" t="str">
        <x:v>S6</x:v>
      </x:c>
      <x:c r="B8" s="30" t="str">
        <x:v>Lead conversion</x:v>
      </x:c>
      <x:c r="C8" s="30" t="str">
        <x:v>Enquiry, routing, CRM, messaging, notifications</x:v>
      </x:c>
      <x:c r="D8" s="30" t="str">
        <x:v>Lead delivered to correct tenant and responded</x:v>
      </x:c>
      <x:c r="E8" s="42" t="n">
        <x:v>5</x:v>
      </x:c>
      <x:c r="F8" s="30" t="str">
        <x:v>2 weeks (assumption)</x:v>
      </x:c>
      <x:c r="G8" s="30" t="str">
        <x:v>Not started</x:v>
      </x:c>
    </x:row>
    <x:row r="9" ht="35" customHeight="1">
      <x:c r="A9" s="40" t="str">
        <x:v>S7</x:v>
      </x:c>
      <x:c r="B9" s="40" t="str">
        <x:v>Appointments &amp; sales</x:v>
      </x:c>
      <x:c r="C9" s="40" t="str">
        <x:v>Test drives, quotations, finance estimate, SLAs</x:v>
      </x:c>
      <x:c r="D9" s="40" t="str">
        <x:v>Buyer-to-dealer appointment journey complete</x:v>
      </x:c>
      <x:c r="E9" s="43" t="n">
        <x:v>4</x:v>
      </x:c>
      <x:c r="F9" s="40" t="str">
        <x:v>2 weeks (assumption)</x:v>
      </x:c>
      <x:c r="G9" s="40" t="str">
        <x:v>Not started</x:v>
      </x:c>
    </x:row>
    <x:row r="10" ht="35" customHeight="1">
      <x:c r="A10" s="30" t="str">
        <x:v>S8</x:v>
      </x:c>
      <x:c r="B10" s="30" t="str">
        <x:v>Marketplace monetization</x:v>
      </x:c>
      <x:c r="C10" s="30" t="str">
        <x:v>Plan entitlements, billing, renewals, support</x:v>
      </x:c>
      <x:c r="D10" s="30" t="str">
        <x:v>Dealer subscription and suspension safe</x:v>
      </x:c>
      <x:c r="E10" s="42" t="n">
        <x:v>4</x:v>
      </x:c>
      <x:c r="F10" s="30" t="str">
        <x:v>2 weeks (assumption)</x:v>
      </x:c>
      <x:c r="G10" s="30" t="str">
        <x:v>Not started</x:v>
      </x:c>
    </x:row>
    <x:row r="11" ht="35" customHeight="1">
      <x:c r="A11" s="40" t="str">
        <x:v>S9</x:v>
      </x:c>
      <x:c r="B11" s="40" t="str">
        <x:v>Analytics &amp; privacy</x:v>
      </x:c>
      <x:c r="C11" s="40" t="str">
        <x:v>Funnels, dealer KPIs, privacy export/delete, security</x:v>
      </x:c>
      <x:c r="D11" s="40" t="str">
        <x:v>KPI and data-control gates approved</x:v>
      </x:c>
      <x:c r="E11" s="43" t="n">
        <x:v>5</x:v>
      </x:c>
      <x:c r="F11" s="40" t="str">
        <x:v>2 weeks (assumption)</x:v>
      </x:c>
      <x:c r="G11" s="40" t="str">
        <x:v>Not started</x:v>
      </x:c>
    </x:row>
    <x:row r="12" ht="35" customHeight="1">
      <x:c r="A12" s="30" t="str">
        <x:v>S10</x:v>
      </x:c>
      <x:c r="B12" s="30" t="str">
        <x:v>Reliability &amp; enablement</x:v>
      </x:c>
      <x:c r="C12" s="30" t="str">
        <x:v>E2E testing, load/race scenarios, runbooks, training</x:v>
      </x:c>
      <x:c r="D12" s="30" t="str">
        <x:v>Recovery, security and operational tests passed</x:v>
      </x:c>
      <x:c r="E12" s="42" t="n">
        <x:v>4</x:v>
      </x:c>
      <x:c r="F12" s="30" t="str">
        <x:v>2 weeks (assumption)</x:v>
      </x:c>
      <x:c r="G12" s="30" t="str">
        <x:v>Not started</x:v>
      </x:c>
    </x:row>
    <x:row r="13" ht="35" customHeight="1">
      <x:c r="A13" s="40" t="str">
        <x:v>S11</x:v>
      </x:c>
      <x:c r="B13" s="40" t="str">
        <x:v>Dealer pilot</x:v>
      </x:c>
      <x:c r="C13" s="40" t="str">
        <x:v>Controlled UAE dealer pilot, hardening</x:v>
      </x:c>
      <x:c r="D13" s="40" t="str">
        <x:v>Pilot quality thresholds and legal signoff met</x:v>
      </x:c>
      <x:c r="E13" s="43" t="n">
        <x:v>2</x:v>
      </x:c>
      <x:c r="F13" s="40" t="str">
        <x:v>2 weeks (assumption)</x:v>
      </x:c>
      <x:c r="G13" s="40" t="str">
        <x:v>Not started</x:v>
      </x:c>
    </x:row>
    <x:row r="14" ht="35" customHeight="1">
      <x:c r="A14" s="30" t="str">
        <x:v>S12</x:v>
      </x:c>
      <x:c r="B14" s="30" t="str">
        <x:v>Limited public launch</x:v>
      </x:c>
      <x:c r="C14" s="30" t="str">
        <x:v>Gradual rollout, support, learning loop</x:v>
      </x:c>
      <x:c r="D14" s="30" t="str">
        <x:v>Approved go-live and 30-day measurement</x:v>
      </x:c>
      <x:c r="E14" s="42" t="n">
        <x:v>2</x:v>
      </x:c>
      <x:c r="F14" s="30" t="str">
        <x:v>2 weeks (assumption)</x:v>
      </x:c>
      <x:c r="G14" s="30" t="str">
        <x:v>Not started</x:v>
      </x:c>
    </x:row>
  </x:sheetData>
  <x:dataValidations count="1">
    <x:dataValidation type="list" sqref="G2:G100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10b196794549c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70" hidden="0" customWidth="1"/>
    <x:col min="4" max="4" width="45" hidden="0" customWidth="1"/>
    <x:col min="5" max="5" width="75" hidden="0" customWidth="1"/>
  </x:cols>
  <x:sheetData>
    <x:row r="1" ht="32" customHeight="1">
      <x:c r="A1" s="35" t="str">
        <x:v>Entity</x:v>
      </x:c>
      <x:c r="B1" s="35" t="str">
        <x:v>Security scope</x:v>
      </x:c>
      <x:c r="C1" s="35" t="str">
        <x:v>Core fields</x:v>
      </x:c>
      <x:c r="D1" s="35" t="str">
        <x:v>Relationships</x:v>
      </x:c>
      <x:c r="E1" s="35" t="str">
        <x:v>Implementation rules</x:v>
      </x:c>
    </x:row>
    <x:row r="2" ht="35" customHeight="1">
      <x:c r="A2" s="30" t="str">
        <x:v>country</x:v>
      </x:c>
      <x:c r="B2" s="30" t="str">
        <x:v>GLOBAL</x:v>
      </x:c>
      <x:c r="C2" s="30" t="str">
        <x:v>code, name, currency, timezone_default</x:v>
      </x:c>
      <x:c r="D2" s="30" t="str">
        <x:v>country_rule</x:v>
      </x:c>
      <x:c r="E2" s="30" t="str">
        <x:v>ISO country; UAE launch AE</x:v>
      </x:c>
    </x:row>
    <x:row r="3" ht="35" customHeight="1">
      <x:c r="A3" s="40" t="str">
        <x:v>country_rule</x:v>
      </x:c>
      <x:c r="B3" s="40" t="str">
        <x:v>GLOBAL</x:v>
      </x:c>
      <x:c r="C3" s="40" t="str">
        <x:v>country_code, kind, version, payload</x:v>
      </x:c>
      <x:c r="D3" s="40" t="str">
        <x:v>country</x:v>
      </x:c>
      <x:c r="E3" s="40" t="str">
        <x:v>No hardcoded future market rules</x:v>
      </x:c>
    </x:row>
    <x:row r="4" ht="35" customHeight="1">
      <x:c r="A4" s="30" t="str">
        <x:v>user_identity</x:v>
      </x:c>
      <x:c r="B4" s="30" t="str">
        <x:v>GLOBAL_PRIVATE</x:v>
      </x:c>
      <x:c r="C4" s="30" t="str">
        <x:v>id, provider_subject, verified_email, verified_phone</x:v>
      </x:c>
      <x:c r="D4" s="30" t="str">
        <x:v>buyer_profile, tenant_membership</x:v>
      </x:c>
      <x:c r="E4" s="30" t="str">
        <x:v>One buyer can engage multiple dealers</x:v>
      </x:c>
    </x:row>
    <x:row r="5" ht="35" customHeight="1">
      <x:c r="A5" s="40" t="str">
        <x:v>buyer_profile</x:v>
      </x:c>
      <x:c r="B5" s="40" t="str">
        <x:v>BUYER_PRIVATE</x:v>
      </x:c>
      <x:c r="C5" s="40" t="str">
        <x:v>user_id, city, price_budget, preference_json</x:v>
      </x:c>
      <x:c r="D5" s="40" t="str">
        <x:v>saved_search, enquiry</x:v>
      </x:c>
      <x:c r="E5" s="40" t="str">
        <x:v>Never queryable by dealers globally</x:v>
      </x:c>
    </x:row>
    <x:row r="6" ht="35" customHeight="1">
      <x:c r="A6" s="30" t="str">
        <x:v>buyer_consent_event</x:v>
      </x:c>
      <x:c r="B6" s="30" t="str">
        <x:v>BUYER_PRIVATE</x:v>
      </x:c>
      <x:c r="C6" s="30" t="str">
        <x:v>buyer_id, purpose, version, granted, recorded_at</x:v>
      </x:c>
      <x:c r="D6" s="30" t="str">
        <x:v>consent_grant</x:v>
      </x:c>
      <x:c r="E6" s="30" t="str">
        <x:v>Append-only consent events</x:v>
      </x:c>
    </x:row>
    <x:row r="7" ht="35" customHeight="1">
      <x:c r="A7" s="40" t="str">
        <x:v>tenant</x:v>
      </x:c>
      <x:c r="B7" s="40" t="str">
        <x:v>PLATFORM</x:v>
      </x:c>
      <x:c r="C7" s="40" t="str">
        <x:v>id, slug, legal_entity_id, status, country</x:v>
      </x:c>
      <x:c r="D7" s="40" t="str">
        <x:v>branch, tenant_membership</x:v>
      </x:c>
      <x:c r="E7" s="40" t="str">
        <x:v>Tenant account and contract boundary</x:v>
      </x:c>
    </x:row>
    <x:row r="8" ht="35" customHeight="1">
      <x:c r="A8" s="30" t="str">
        <x:v>branch</x:v>
      </x:c>
      <x:c r="B8" s="30" t="str">
        <x:v>TENANT</x:v>
      </x:c>
      <x:c r="C8" s="30" t="str">
        <x:v>id, tenant_id, emirate, contact</x:v>
      </x:c>
      <x:c r="D8" s="30" t="str">
        <x:v>inventory_item, lead</x:v>
      </x:c>
      <x:c r="E8" s="30" t="str">
        <x:v>Always tenant-scoped</x:v>
      </x:c>
    </x:row>
    <x:row r="9" ht="35" customHeight="1">
      <x:c r="A9" s="40" t="str">
        <x:v>tenant_membership</x:v>
      </x:c>
      <x:c r="B9" s="40" t="str">
        <x:v>TENANT</x:v>
      </x:c>
      <x:c r="C9" s="40" t="str">
        <x:v>user_id, tenant_id, role_id, branch_scope</x:v>
      </x:c>
      <x:c r="D9" s="40" t="str">
        <x:v>user_identity, tenant</x:v>
      </x:c>
      <x:c r="E9" s="40" t="str">
        <x:v>Server checks membership and status</x:v>
      </x:c>
    </x:row>
    <x:row r="10" ht="35" customHeight="1">
      <x:c r="A10" s="30" t="str">
        <x:v>dealer_legal_entity</x:v>
      </x:c>
      <x:c r="B10" s="30" t="str">
        <x:v>TENANT_PRIVATE</x:v>
      </x:c>
      <x:c r="C10" s="30" t="str">
        <x:v>tenant_id, trade_license_ref, expires_at</x:v>
      </x:c>
      <x:c r="D10" s="30" t="str">
        <x:v>kyb_case</x:v>
      </x:c>
      <x:c r="E10" s="30" t="str">
        <x:v>License never public</x:v>
      </x:c>
    </x:row>
    <x:row r="11" ht="35" customHeight="1">
      <x:c r="A11" s="40" t="str">
        <x:v>kyb_case</x:v>
      </x:c>
      <x:c r="B11" s="40" t="str">
        <x:v>PLATFORM_RESTRICTED</x:v>
      </x:c>
      <x:c r="C11" s="40" t="str">
        <x:v>tenant_id, evidence_refs, decision, reviewer_id</x:v>
      </x:c>
      <x:c r="D11" s="40" t="str">
        <x:v>dealer_legal_entity</x:v>
      </x:c>
      <x:c r="E11" s="40" t="str">
        <x:v>Only reviewed status flows public</x:v>
      </x:c>
    </x:row>
    <x:row r="12" ht="35" customHeight="1">
      <x:c r="A12" s="30" t="str">
        <x:v>vehicle_trim</x:v>
      </x:c>
      <x:c r="B12" s="30" t="str">
        <x:v>GLOBAL</x:v>
      </x:c>
      <x:c r="C12" s="30" t="str">
        <x:v>make_id, model_id, trim_code, spec_region</x:v>
      </x:c>
      <x:c r="D12" s="30" t="str">
        <x:v>inventory_item</x:v>
      </x:c>
      <x:c r="E12" s="30" t="str">
        <x:v>Localized catalogue</x:v>
      </x:c>
    </x:row>
    <x:row r="13" ht="35" customHeight="1">
      <x:c r="A13" s="40" t="str">
        <x:v>inventory_item</x:v>
      </x:c>
      <x:c r="B13" s="40" t="str">
        <x:v>TENANT</x:v>
      </x:c>
      <x:c r="C13" s="40" t="str">
        <x:v>tenant_id, branch_id, vin_norm, status, cost, sell_price</x:v>
      </x:c>
      <x:c r="D13" s="40" t="str">
        <x:v>listing, stock_event</x:v>
      </x:c>
      <x:c r="E13" s="40" t="str">
        <x:v>VIN unique per tenant active item</x:v>
      </x:c>
    </x:row>
    <x:row r="14" ht="35" customHeight="1">
      <x:c r="A14" s="30" t="str">
        <x:v>stock_event</x:v>
      </x:c>
      <x:c r="B14" s="30" t="str">
        <x:v>TENANT</x:v>
      </x:c>
      <x:c r="C14" s="30" t="str">
        <x:v>stock_id, previous_status, new_status, actor, at</x:v>
      </x:c>
      <x:c r="D14" s="30" t="str">
        <x:v>inventory_item</x:v>
      </x:c>
      <x:c r="E14" s="30" t="str">
        <x:v>Append-only lifecycle</x:v>
      </x:c>
    </x:row>
    <x:row r="15" ht="35" customHeight="1">
      <x:c r="A15" s="40" t="str">
        <x:v>listing</x:v>
      </x:c>
      <x:c r="B15" s="40" t="str">
        <x:v>PUBLIC_PROJECTION</x:v>
      </x:c>
      <x:c r="C15" s="40" t="str">
        <x:v>inventory_id, tenant_id, status, public_price, slug</x:v>
      </x:c>
      <x:c r="D15" s="40" t="str">
        <x:v>media_asset, moderation_case</x:v>
      </x:c>
      <x:c r="E15" s="40" t="str">
        <x:v>Published projection omits VIN full and acquisition cost</x:v>
      </x:c>
    </x:row>
    <x:row r="16" ht="35" customHeight="1">
      <x:c r="A16" s="30" t="str">
        <x:v>media_asset</x:v>
      </x:c>
      <x:c r="B16" s="30" t="str">
        <x:v>TENANT</x:v>
      </x:c>
      <x:c r="C16" s="30" t="str">
        <x:v>listing_id, storage_ref, scan_status, media_order</x:v>
      </x:c>
      <x:c r="D16" s="30" t="str">
        <x:v>listing</x:v>
      </x:c>
      <x:c r="E16" s="30" t="str">
        <x:v>Signed media access and scan gate</x:v>
      </x:c>
    </x:row>
    <x:row r="17" ht="35" customHeight="1">
      <x:c r="A17" s="40" t="str">
        <x:v>moderation_case</x:v>
      </x:c>
      <x:c r="B17" s="40" t="str">
        <x:v>PLATFORM_RESTRICTED</x:v>
      </x:c>
      <x:c r="C17" s="40" t="str">
        <x:v>listing_id, risk_type, decision, reviewer</x:v>
      </x:c>
      <x:c r="D17" s="40" t="str">
        <x:v>listing</x:v>
      </x:c>
      <x:c r="E17" s="40" t="str">
        <x:v>Rejection and reason audit</x:v>
      </x:c>
    </x:row>
    <x:row r="18" ht="35" customHeight="1">
      <x:c r="A18" s="30" t="str">
        <x:v>enquiry</x:v>
      </x:c>
      <x:c r="B18" s="30" t="str">
        <x:v>BUYER_AND_TARGET_TENANT</x:v>
      </x:c>
      <x:c r="C18" s="30" t="str">
        <x:v>buyer_id, listing_id, target_tenant_id, consent_grant_id</x:v>
      </x:c>
      <x:c r="D18" s="30" t="str">
        <x:v>lead</x:v>
      </x:c>
      <x:c r="E18" s="30" t="str">
        <x:v>Share granted contact snapshot only</x:v>
      </x:c>
    </x:row>
    <x:row r="19" ht="35" customHeight="1">
      <x:c r="A19" s="40" t="str">
        <x:v>dealer_lead</x:v>
      </x:c>
      <x:c r="B19" s="40" t="str">
        <x:v>TENANT</x:v>
      </x:c>
      <x:c r="C19" s="40" t="str">
        <x:v>tenant_id, enquiry_id, stage, assignee, contact_snapshot</x:v>
      </x:c>
      <x:c r="D19" s="40" t="str">
        <x:v>enquiry, appointment</x:v>
      </x:c>
      <x:c r="E19" s="40" t="str">
        <x:v>Dealer cannot see global buying history</x:v>
      </x:c>
    </x:row>
    <x:row r="20" ht="35" customHeight="1">
      <x:c r="A20" s="30" t="str">
        <x:v>conversation</x:v>
      </x:c>
      <x:c r="B20" s="30" t="str">
        <x:v>BUYER_AND_TARGET_TENANT</x:v>
      </x:c>
      <x:c r="C20" s="30" t="str">
        <x:v>enquiry_id, buyer_id, tenant_id</x:v>
      </x:c>
      <x:c r="D20" s="30" t="str">
        <x:v>message</x:v>
      </x:c>
      <x:c r="E20" s="30" t="str">
        <x:v>Participants only</x:v>
      </x:c>
    </x:row>
    <x:row r="21" ht="35" customHeight="1">
      <x:c r="A21" s="40" t="str">
        <x:v>appointment</x:v>
      </x:c>
      <x:c r="B21" s="40" t="str">
        <x:v>TENANT_AND_BUYER</x:v>
      </x:c>
      <x:c r="C21" s="40" t="str">
        <x:v>enquiry_id, stock_id, slot, status</x:v>
      </x:c>
      <x:c r="D21" s="40" t="str">
        <x:v>enquiry</x:v>
      </x:c>
      <x:c r="E21" s="40" t="str">
        <x:v>Prevent double booking</x:v>
      </x:c>
    </x:row>
    <x:row r="22" ht="35" customHeight="1">
      <x:c r="A22" s="30" t="str">
        <x:v>quotation</x:v>
      </x:c>
      <x:c r="B22" s="30" t="str">
        <x:v>TENANT</x:v>
      </x:c>
      <x:c r="C22" s="30" t="str">
        <x:v>lead_id, inventory_id, tax_config_version, total</x:v>
      </x:c>
      <x:c r="D22" s="30" t="str">
        <x:v>sales_order</x:v>
      </x:c>
      <x:c r="E22" s="30" t="str">
        <x:v>Snapshot prices and assumptions</x:v>
      </x:c>
    </x:row>
    <x:row r="23" ht="35" customHeight="1">
      <x:c r="A23" s="40" t="str">
        <x:v>subscription</x:v>
      </x:c>
      <x:c r="B23" s="40" t="str">
        <x:v>PLATFORM_RESTRICTED</x:v>
      </x:c>
      <x:c r="C23" s="40" t="str">
        <x:v>tenant_id, plan_id, status, billing_provider_ref</x:v>
      </x:c>
      <x:c r="D23" s="40" t="str">
        <x:v>tenant, invoice</x:v>
      </x:c>
      <x:c r="E23" s="40" t="str">
        <x:v>Merchant billing separated from vehicle deals</x:v>
      </x:c>
    </x:row>
    <x:row r="24" ht="35" customHeight="1">
      <x:c r="A24" s="30" t="str">
        <x:v>outbox_event</x:v>
      </x:c>
      <x:c r="B24" s="30" t="str">
        <x:v>INTERNAL</x:v>
      </x:c>
      <x:c r="C24" s="30" t="str">
        <x:v>aggregate_id, event_type, payload, status, retry_count</x:v>
      </x:c>
      <x:c r="D24" s="30" t="str">
        <x:v>listing_search_projection</x:v>
      </x:c>
      <x:c r="E24" s="30" t="str">
        <x:v>At least once with idempotent consumer</x:v>
      </x:c>
    </x:row>
    <x:row r="25" ht="35" customHeight="1">
      <x:c r="A25" s="40" t="str">
        <x:v>search_projection</x:v>
      </x:c>
      <x:c r="B25" s="40" t="str">
        <x:v>PUBLIC</x:v>
      </x:c>
      <x:c r="C25" s="40" t="str">
        <x:v>listing_id, title, location, filters, last_indexed_at</x:v>
      </x:c>
      <x:c r="D25" s="40" t="str">
        <x:v>listing</x:v>
      </x:c>
      <x:c r="E25" s="40" t="str">
        <x:v>Index only published live stock</x:v>
      </x:c>
    </x:row>
    <x:row r="26" ht="35" customHeight="1">
      <x:c r="A26" s="30" t="str">
        <x:v>audit_event</x:v>
      </x:c>
      <x:c r="B26" s="30" t="str">
        <x:v>INTERNAL_IMMUTABLE</x:v>
      </x:c>
      <x:c r="C26" s="30" t="str">
        <x:v>actor, tenant_id, action, resource, correlation_id</x:v>
      </x:c>
      <x:c r="D26" s="30" t="str">
        <x:v>all</x:v>
      </x:c>
      <x:c r="E26" s="30" t="str">
        <x:v>No unrestricted dealer edits</x:v>
      </x:c>
    </x:row>
  </x:sheetData>
  <x:pageMargins left="0.7" right="0.7" top="0.75" bottom="0.75" header="0.3" footer="0.3"/>
  <x:tableParts count="1">
    <x:tablePart xmlns:r="http://schemas.openxmlformats.org/officeDocument/2006/relationships" r:id="Rcf44dbe47a79419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0" hidden="0" customWidth="1"/>
    <x:col min="3" max="3" width="55" hidden="0" customWidth="1"/>
    <x:col min="4" max="4" width="30" hidden="0" customWidth="1"/>
    <x:col min="5" max="5" width="46" hidden="0" customWidth="1"/>
    <x:col min="6" max="6" width="40" hidden="0" customWidth="1"/>
    <x:col min="7" max="7" width="21" hidden="0" customWidth="1"/>
  </x:cols>
  <x:sheetData>
    <x:row r="1" ht="32" customHeight="1">
      <x:c r="A1" s="35" t="str">
        <x:v>Group</x:v>
      </x:c>
      <x:c r="B1" s="35" t="str">
        <x:v>Verb</x:v>
      </x:c>
      <x:c r="C1" s="35" t="str">
        <x:v>Endpoint</x:v>
      </x:c>
      <x:c r="D1" s="35" t="str">
        <x:v>Required access</x:v>
      </x:c>
      <x:c r="E1" s="35" t="str">
        <x:v>Request</x:v>
      </x:c>
      <x:c r="F1" s="35" t="str">
        <x:v>Response</x:v>
      </x:c>
      <x:c r="G1" s="35" t="str">
        <x:v>Expected errors</x:v>
      </x:c>
    </x:row>
    <x:row r="2" ht="35" customHeight="1">
      <x:c r="A2" s="30" t="str">
        <x:v>Identity</x:v>
      </x:c>
      <x:c r="B2" s="30" t="str">
        <x:v>POST</x:v>
      </x:c>
      <x:c r="C2" s="30" t="str">
        <x:v>/v1/auth/session</x:v>
      </x:c>
      <x:c r="D2" s="30" t="str">
        <x:v>Public</x:v>
      </x:c>
      <x:c r="E2" s="30" t="str">
        <x:v>email/OTP or IdP callback</x:v>
      </x:c>
      <x:c r="F2" s="30" t="str">
        <x:v>tokens + profile</x:v>
      </x:c>
      <x:c r="G2" s="30" t="str">
        <x:v>401 429</x:v>
      </x:c>
    </x:row>
    <x:row r="3" ht="35" customHeight="1">
      <x:c r="A3" s="40" t="str">
        <x:v>Dealer</x:v>
      </x:c>
      <x:c r="B3" s="40" t="str">
        <x:v>POST</x:v>
      </x:c>
      <x:c r="C3" s="40" t="str">
        <x:v>/v1/admin/tenants</x:v>
      </x:c>
      <x:c r="D3" s="40" t="str">
        <x:v>Platform admin</x:v>
      </x:c>
      <x:c r="E3" s="40" t="str">
        <x:v>tenant + legal entity + branches</x:v>
      </x:c>
      <x:c r="F3" s="40" t="str">
        <x:v>tenant_id + status</x:v>
      </x:c>
      <x:c r="G3" s="40" t="str">
        <x:v>400 403 409</x:v>
      </x:c>
    </x:row>
    <x:row r="4" ht="35" customHeight="1">
      <x:c r="A4" s="30" t="str">
        <x:v>Dealer</x:v>
      </x:c>
      <x:c r="B4" s="30" t="str">
        <x:v>POST</x:v>
      </x:c>
      <x:c r="C4" s="30" t="str">
        <x:v>/v1/dealers/verification</x:v>
      </x:c>
      <x:c r="D4" s="30" t="str">
        <x:v>Dealer owner</x:v>
      </x:c>
      <x:c r="E4" s="30" t="str">
        <x:v>trade license metadata and docs</x:v>
      </x:c>
      <x:c r="F4" s="30" t="str">
        <x:v>kyb_case_id</x:v>
      </x:c>
      <x:c r="G4" s="30" t="str">
        <x:v>400 403 422</x:v>
      </x:c>
    </x:row>
    <x:row r="5" ht="35" customHeight="1">
      <x:c r="A5" s="40" t="str">
        <x:v>Catalogue</x:v>
      </x:c>
      <x:c r="B5" s="40" t="str">
        <x:v>GET</x:v>
      </x:c>
      <x:c r="C5" s="40" t="str">
        <x:v>/v1/catalog/makes</x:v>
      </x:c>
      <x:c r="D5" s="40" t="str">
        <x:v>Public</x:v>
      </x:c>
      <x:c r="E5" s="40" t="str">
        <x:v>market=AE</x:v>
      </x:c>
      <x:c r="F5" s="40" t="str">
        <x:v>canonical make list</x:v>
      </x:c>
      <x:c r="G5" s="40" t="str">
        <x:v>400</x:v>
      </x:c>
    </x:row>
    <x:row r="6" ht="35" customHeight="1">
      <x:c r="A6" s="30" t="str">
        <x:v>Inventory</x:v>
      </x:c>
      <x:c r="B6" s="30" t="str">
        <x:v>POST</x:v>
      </x:c>
      <x:c r="C6" s="30" t="str">
        <x:v>/v1/dealer/stock</x:v>
      </x:c>
      <x:c r="D6" s="30" t="str">
        <x:v>Scoped dealer inventory role</x:v>
      </x:c>
      <x:c r="E6" s="30" t="str">
        <x:v>VIN + make/model + condition + branch</x:v>
      </x:c>
      <x:c r="F6" s="30" t="str">
        <x:v>stock_id + version</x:v>
      </x:c>
      <x:c r="G6" s="30" t="str">
        <x:v>400 403 409 422</x:v>
      </x:c>
    </x:row>
    <x:row r="7" ht="35" customHeight="1">
      <x:c r="A7" s="40" t="str">
        <x:v>Inventory</x:v>
      </x:c>
      <x:c r="B7" s="40" t="str">
        <x:v>POST</x:v>
      </x:c>
      <x:c r="C7" s="40" t="str">
        <x:v>/v1/dealer/stock/{id}/transitions</x:v>
      </x:c>
      <x:c r="D7" s="40" t="str">
        <x:v>Scoped inventory role</x:v>
      </x:c>
      <x:c r="E7" s="40" t="str">
        <x:v>target_status + version + idempotency_key</x:v>
      </x:c>
      <x:c r="F7" s="40" t="str">
        <x:v>stock status + version</x:v>
      </x:c>
      <x:c r="G7" s="40" t="str">
        <x:v>403 409 422</x:v>
      </x:c>
    </x:row>
    <x:row r="8" ht="35" customHeight="1">
      <x:c r="A8" s="30" t="str">
        <x:v>Listings</x:v>
      </x:c>
      <x:c r="B8" s="30" t="str">
        <x:v>POST</x:v>
      </x:c>
      <x:c r="C8" s="30" t="str">
        <x:v>/v1/dealer/stock/{id}/listings</x:v>
      </x:c>
      <x:c r="D8" s="30" t="str">
        <x:v>Scoped inventory role</x:v>
      </x:c>
      <x:c r="E8" s="30" t="str">
        <x:v>listing draft + media refs</x:v>
      </x:c>
      <x:c r="F8" s="30" t="str">
        <x:v>listing_id + draft status</x:v>
      </x:c>
      <x:c r="G8" s="30" t="str">
        <x:v>403 409 422</x:v>
      </x:c>
    </x:row>
    <x:row r="9" ht="35" customHeight="1">
      <x:c r="A9" s="40" t="str">
        <x:v>Listings</x:v>
      </x:c>
      <x:c r="B9" s="40" t="str">
        <x:v>POST</x:v>
      </x:c>
      <x:c r="C9" s="40" t="str">
        <x:v>/v1/admin/listings/{id}/decision</x:v>
      </x:c>
      <x:c r="D9" s="40" t="str">
        <x:v>Marketplace moderator</x:v>
      </x:c>
      <x:c r="E9" s="40" t="str">
        <x:v>approve/reject + reason</x:v>
      </x:c>
      <x:c r="F9" s="40" t="str">
        <x:v>review status</x:v>
      </x:c>
      <x:c r="G9" s="40" t="str">
        <x:v>403 409 422</x:v>
      </x:c>
    </x:row>
    <x:row r="10" ht="35" customHeight="1">
      <x:c r="A10" s="30" t="str">
        <x:v>Listings</x:v>
      </x:c>
      <x:c r="B10" s="30" t="str">
        <x:v>POST</x:v>
      </x:c>
      <x:c r="C10" s="30" t="str">
        <x:v>/v1/dealer/listings/{id}/publish</x:v>
      </x:c>
      <x:c r="D10" s="30" t="str">
        <x:v>Scoped dealer manager</x:v>
      </x:c>
      <x:c r="E10" s="30" t="str">
        <x:v>version + requested publish action</x:v>
      </x:c>
      <x:c r="F10" s="30" t="str">
        <x:v>publish receipt + version</x:v>
      </x:c>
      <x:c r="G10" s="30" t="str">
        <x:v>403 409 422</x:v>
      </x:c>
    </x:row>
    <x:row r="11" ht="35" customHeight="1">
      <x:c r="A11" s="40" t="str">
        <x:v>Marketplace</x:v>
      </x:c>
      <x:c r="B11" s="40" t="str">
        <x:v>GET</x:v>
      </x:c>
      <x:c r="C11" s="40" t="str">
        <x:v>/v1/public/listings</x:v>
      </x:c>
      <x:c r="D11" s="40" t="str">
        <x:v>Public</x:v>
      </x:c>
      <x:c r="E11" s="40" t="str">
        <x:v>q/filter/sort/cursor</x:v>
      </x:c>
      <x:c r="F11" s="40" t="str">
        <x:v>paginated listing cards</x:v>
      </x:c>
      <x:c r="G11" s="40" t="str">
        <x:v>400 429</x:v>
      </x:c>
    </x:row>
    <x:row r="12" ht="35" customHeight="1">
      <x:c r="A12" s="30" t="str">
        <x:v>Marketplace</x:v>
      </x:c>
      <x:c r="B12" s="30" t="str">
        <x:v>GET</x:v>
      </x:c>
      <x:c r="C12" s="30" t="str">
        <x:v>/v1/public/listings/{slug}</x:v>
      </x:c>
      <x:c r="D12" s="30" t="str">
        <x:v>Public</x:v>
      </x:c>
      <x:c r="E12" s="30" t="str">
        <x:v>slug</x:v>
      </x:c>
      <x:c r="F12" s="30" t="str">
        <x:v>public listing only</x:v>
      </x:c>
      <x:c r="G12" s="30" t="str">
        <x:v>404 410</x:v>
      </x:c>
    </x:row>
    <x:row r="13" ht="35" customHeight="1">
      <x:c r="A13" s="40" t="str">
        <x:v>Buyer</x:v>
      </x:c>
      <x:c r="B13" s="40" t="str">
        <x:v>PATCH</x:v>
      </x:c>
      <x:c r="C13" s="40" t="str">
        <x:v>/v1/buyers/me</x:v>
      </x:c>
      <x:c r="D13" s="40" t="str">
        <x:v>Buyer</x:v>
      </x:c>
      <x:c r="E13" s="40" t="str">
        <x:v>preferences/budget/emirate</x:v>
      </x:c>
      <x:c r="F13" s="40" t="str">
        <x:v>updated profile</x:v>
      </x:c>
      <x:c r="G13" s="40" t="str">
        <x:v>401 422</x:v>
      </x:c>
    </x:row>
    <x:row r="14" ht="35" customHeight="1">
      <x:c r="A14" s="30" t="str">
        <x:v>Buyer</x:v>
      </x:c>
      <x:c r="B14" s="30" t="str">
        <x:v>POST</x:v>
      </x:c>
      <x:c r="C14" s="30" t="str">
        <x:v>/v1/buyers/me/saved-searches</x:v>
      </x:c>
      <x:c r="D14" s="30" t="str">
        <x:v>Buyer</x:v>
      </x:c>
      <x:c r="E14" s="30" t="str">
        <x:v>filters + alert consent</x:v>
      </x:c>
      <x:c r="F14" s="30" t="str">
        <x:v>saved_search_id</x:v>
      </x:c>
      <x:c r="G14" s="30" t="str">
        <x:v>401 422</x:v>
      </x:c>
    </x:row>
    <x:row r="15" ht="35" customHeight="1">
      <x:c r="A15" s="40" t="str">
        <x:v>Privacy</x:v>
      </x:c>
      <x:c r="B15" s="40" t="str">
        <x:v>POST</x:v>
      </x:c>
      <x:c r="C15" s="40" t="str">
        <x:v>/v1/buyers/me/consents</x:v>
      </x:c>
      <x:c r="D15" s="40" t="str">
        <x:v>Buyer</x:v>
      </x:c>
      <x:c r="E15" s="40" t="str">
        <x:v>purpose + granted + version</x:v>
      </x:c>
      <x:c r="F15" s="40" t="str">
        <x:v>consent receipt</x:v>
      </x:c>
      <x:c r="G15" s="40" t="str">
        <x:v>401 422</x:v>
      </x:c>
    </x:row>
    <x:row r="16" ht="35" customHeight="1">
      <x:c r="A16" s="30" t="str">
        <x:v>Leads</x:v>
      </x:c>
      <x:c r="B16" s="30" t="str">
        <x:v>POST</x:v>
      </x:c>
      <x:c r="C16" s="30" t="str">
        <x:v>/v1/public/listings/{id}/enquiries</x:v>
      </x:c>
      <x:c r="D16" s="30" t="str">
        <x:v>Buyer/guest scoped</x:v>
      </x:c>
      <x:c r="E16" s="30" t="str">
        <x:v>intent + contact + consent + idempotency</x:v>
      </x:c>
      <x:c r="F16" s="30" t="str">
        <x:v>enquiry_id + lead receipt</x:v>
      </x:c>
      <x:c r="G16" s="30" t="str">
        <x:v>400 403 409 429</x:v>
      </x:c>
    </x:row>
    <x:row r="17" ht="35" customHeight="1">
      <x:c r="A17" s="40" t="str">
        <x:v>Leads</x:v>
      </x:c>
      <x:c r="B17" s="40" t="str">
        <x:v>POST</x:v>
      </x:c>
      <x:c r="C17" s="40" t="str">
        <x:v>/v1/dealer/leads/{id}/assign</x:v>
      </x:c>
      <x:c r="D17" s="40" t="str">
        <x:v>Dealer lead manager</x:v>
      </x:c>
      <x:c r="E17" s="40" t="str">
        <x:v>staff_id + reason</x:v>
      </x:c>
      <x:c r="F17" s="40" t="str">
        <x:v>assignment</x:v>
      </x:c>
      <x:c r="G17" s="40" t="str">
        <x:v>403 409</x:v>
      </x:c>
    </x:row>
    <x:row r="18" ht="35" customHeight="1">
      <x:c r="A18" s="30" t="str">
        <x:v>Messaging</x:v>
      </x:c>
      <x:c r="B18" s="30" t="str">
        <x:v>POST</x:v>
      </x:c>
      <x:c r="C18" s="30" t="str">
        <x:v>/v1/conversations/{id}/messages</x:v>
      </x:c>
      <x:c r="D18" s="30" t="str">
        <x:v>Conversation participant</x:v>
      </x:c>
      <x:c r="E18" s="30" t="str">
        <x:v>message text + attachments</x:v>
      </x:c>
      <x:c r="F18" s="30" t="str">
        <x:v>message id</x:v>
      </x:c>
      <x:c r="G18" s="30" t="str">
        <x:v>401 403 429</x:v>
      </x:c>
    </x:row>
    <x:row r="19" ht="35" customHeight="1">
      <x:c r="A19" s="40" t="str">
        <x:v>Appointments</x:v>
      </x:c>
      <x:c r="B19" s="40" t="str">
        <x:v>POST</x:v>
      </x:c>
      <x:c r="C19" s="40" t="str">
        <x:v>/v1/listings/{id}/test-drives</x:v>
      </x:c>
      <x:c r="D19" s="40" t="str">
        <x:v>Buyer</x:v>
      </x:c>
      <x:c r="E19" s="40" t="str">
        <x:v>slot + branch + vehicle</x:v>
      </x:c>
      <x:c r="F19" s="40" t="str">
        <x:v>appointment request</x:v>
      </x:c>
      <x:c r="G19" s="40" t="str">
        <x:v>401 409 422</x:v>
      </x:c>
    </x:row>
    <x:row r="20" ht="35" customHeight="1">
      <x:c r="A20" s="30" t="str">
        <x:v>Sales</x:v>
      </x:c>
      <x:c r="B20" s="30" t="str">
        <x:v>POST</x:v>
      </x:c>
      <x:c r="C20" s="30" t="str">
        <x:v>/v1/dealer/quotations</x:v>
      </x:c>
      <x:c r="D20" s="30" t="str">
        <x:v>Dealer sales role</x:v>
      </x:c>
      <x:c r="E20" s="30" t="str">
        <x:v>stock_id + lines + assumptions</x:v>
      </x:c>
      <x:c r="F20" s="30" t="str">
        <x:v>quote_id</x:v>
      </x:c>
      <x:c r="G20" s="30" t="str">
        <x:v>403 409 422</x:v>
      </x:c>
    </x:row>
    <x:row r="21" ht="35" customHeight="1">
      <x:c r="A21" s="40" t="str">
        <x:v>Billing</x:v>
      </x:c>
      <x:c r="B21" s="40" t="str">
        <x:v>POST</x:v>
      </x:c>
      <x:c r="C21" s="40" t="str">
        <x:v>/v1/dealer/subscription/checkout</x:v>
      </x:c>
      <x:c r="D21" s="40" t="str">
        <x:v>Dealer owner</x:v>
      </x:c>
      <x:c r="E21" s="40" t="str">
        <x:v>plan_id + merchant redirect</x:v>
      </x:c>
      <x:c r="F21" s="40" t="str">
        <x:v>checkout_url</x:v>
      </x:c>
      <x:c r="G21" s="40" t="str">
        <x:v>403 409 422</x:v>
      </x:c>
    </x:row>
    <x:row r="22" ht="35" customHeight="1">
      <x:c r="A22" s="30" t="str">
        <x:v>Billing</x:v>
      </x:c>
      <x:c r="B22" s="30" t="str">
        <x:v>POST</x:v>
      </x:c>
      <x:c r="C22" s="30" t="str">
        <x:v>/v1/webhooks/payment-provider</x:v>
      </x:c>
      <x:c r="D22" s="30" t="str">
        <x:v>Verified provider signature</x:v>
      </x:c>
      <x:c r="E22" s="30" t="str">
        <x:v>gateway event</x:v>
      </x:c>
      <x:c r="F22" s="30" t="str">
        <x:v>202 accepted</x:v>
      </x:c>
      <x:c r="G22" s="30" t="str">
        <x:v>401 409</x:v>
      </x:c>
    </x:row>
    <x:row r="23" ht="35" customHeight="1">
      <x:c r="A23" s="40" t="str">
        <x:v>Analytics</x:v>
      </x:c>
      <x:c r="B23" s="40" t="str">
        <x:v>GET</x:v>
      </x:c>
      <x:c r="C23" s="40" t="str">
        <x:v>/v1/dealer/reports/overview</x:v>
      </x:c>
      <x:c r="D23" s="40" t="str">
        <x:v>Dealer manager</x:v>
      </x:c>
      <x:c r="E23" s="40" t="str">
        <x:v>branch/date window</x:v>
      </x:c>
      <x:c r="F23" s="40" t="str">
        <x:v>tenant-scoped aggregates</x:v>
      </x:c>
      <x:c r="G23" s="40" t="str">
        <x:v>403 422</x:v>
      </x:c>
    </x:row>
    <x:row r="24" ht="35" customHeight="1">
      <x:c r="A24" s="30" t="str">
        <x:v>Privacy</x:v>
      </x:c>
      <x:c r="B24" s="30" t="str">
        <x:v>POST</x:v>
      </x:c>
      <x:c r="C24" s="30" t="str">
        <x:v>/v1/buyers/me/data-requests</x:v>
      </x:c>
      <x:c r="D24" s="30" t="str">
        <x:v>Buyer</x:v>
      </x:c>
      <x:c r="E24" s="30" t="str">
        <x:v>export/delete + verified intent</x:v>
      </x:c>
      <x:c r="F24" s="30" t="str">
        <x:v>request_id</x:v>
      </x:c>
      <x:c r="G24" s="30" t="str">
        <x:v>401 422</x:v>
      </x:c>
    </x:row>
    <x:row r="25" ht="35" customHeight="1">
      <x:c r="A25" s="40" t="str">
        <x:v>Platform</x:v>
      </x:c>
      <x:c r="B25" s="40" t="str">
        <x:v>GET</x:v>
      </x:c>
      <x:c r="C25" s="40" t="str">
        <x:v>/v1/admin/metrics/overview</x:v>
      </x:c>
      <x:c r="D25" s="40" t="str">
        <x:v>Platform analyst</x:v>
      </x:c>
      <x:c r="E25" s="40" t="str">
        <x:v>date range</x:v>
      </x:c>
      <x:c r="F25" s="40" t="str">
        <x:v>anonymized global metrics</x:v>
      </x:c>
      <x:c r="G25" s="40" t="str">
        <x:v>403</x:v>
      </x:c>
    </x:row>
  </x:sheetData>
  <x:pageMargins left="0.7" right="0.7" top="0.75" bottom="0.75" header="0.3" footer="0.3"/>
  <x:tableParts count="1">
    <x:tablePart xmlns:r="http://schemas.openxmlformats.org/officeDocument/2006/relationships" r:id="Rc1749980f5fb4cb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60" hidden="0" customWidth="1"/>
    <x:col min="4" max="4" width="75" hidden="0" customWidth="1"/>
    <x:col min="5" max="5" width="60" hidden="0" customWidth="1"/>
  </x:cols>
  <x:sheetData>
    <x:row r="1" ht="32" customHeight="1">
      <x:c r="A1" s="35" t="str">
        <x:v>ID</x:v>
      </x:c>
      <x:c r="B1" s="35" t="str">
        <x:v>State</x:v>
      </x:c>
      <x:c r="C1" s="35" t="str">
        <x:v>Proposal / decision</x:v>
      </x:c>
      <x:c r="D1" s="35" t="str">
        <x:v>Implementation rationale</x:v>
      </x:c>
      <x:c r="E1" s="35" t="str">
        <x:v>Revisit / dependency</x:v>
      </x:c>
    </x:row>
    <x:row r="2" ht="35" customHeight="1">
      <x:c r="A2" s="30" t="str">
        <x:v>ADR-001</x:v>
      </x:c>
      <x:c r="B2" s="30" t="str">
        <x:v>APPROVED</x:v>
      </x:c>
      <x:c r="C2" s="30" t="str">
        <x:v>UAE-first, future market-configurable</x:v>
      </x:c>
      <x:c r="D2" s="30" t="str">
        <x:v>Country table + policy packs; AE only at launch</x:v>
      </x:c>
      <x:c r="E2" s="30" t="str">
        <x:v>No country hardcode in domain logic</x:v>
      </x:c>
    </x:row>
    <x:row r="3" ht="35" customHeight="1">
      <x:c r="A3" s="40" t="str">
        <x:v>ADR-002</x:v>
      </x:c>
      <x:c r="B3" s="40" t="str">
        <x:v>PROPOSED</x:v>
      </x:c>
      <x:c r="C3" s="40" t="str">
        <x:v>Modular monolith NestJS and PostgreSQL</x:v>
      </x:c>
      <x:c r="D3" s="40" t="str">
        <x:v>Bounded contexts with contracts and async outbox</x:v>
      </x:c>
      <x:c r="E3" s="40" t="str">
        <x:v>Reassess microservices based on load/team</x:v>
      </x:c>
    </x:row>
    <x:row r="4" ht="35" customHeight="1">
      <x:c r="A4" s="30" t="str">
        <x:v>ADR-003</x:v>
      </x:c>
      <x:c r="B4" s="30" t="str">
        <x:v>PROPOSED</x:v>
      </x:c>
      <x:c r="C4" s="30" t="str">
        <x:v>One global buyer identity; tenant-owned CRM data</x:v>
      </x:c>
      <x:c r="D4" s="30" t="str">
        <x:v>Lead-specific scoped consent grants</x:v>
      </x:c>
      <x:c r="E4" s="30" t="str">
        <x:v>Avoid shared cross-dealer CRM</x:v>
      </x:c>
    </x:row>
    <x:row r="5" ht="35" customHeight="1">
      <x:c r="A5" s="40" t="str">
        <x:v>ADR-004</x:v>
      </x:c>
      <x:c r="B5" s="40" t="str">
        <x:v>PROPOSED</x:v>
      </x:c>
      <x:c r="C5" s="40" t="str">
        <x:v>Dealer inventory source of truth</x:v>
      </x:c>
      <x:c r="D5" s="40" t="str">
        <x:v>Listing as moderated public projection</x:v>
      </x:c>
      <x:c r="E5" s="40" t="str">
        <x:v>Stock changes synchronize with search</x:v>
      </x:c>
    </x:row>
    <x:row r="6" ht="35" customHeight="1">
      <x:c r="A6" s="30" t="str">
        <x:v>ADR-005</x:v>
      </x:c>
      <x:c r="B6" s="30" t="str">
        <x:v>PROPOSED</x:v>
      </x:c>
      <x:c r="C6" s="30" t="str">
        <x:v>PostgreSQL search at MVP scale</x:v>
      </x:c>
      <x:c r="D6" s="30" t="str">
        <x:v>Add search engine based on latency/facet metrics</x:v>
      </x:c>
      <x:c r="E6" s="30" t="str">
        <x:v>No search cluster prematurely</x:v>
      </x:c>
    </x:row>
    <x:row r="7" ht="35" customHeight="1">
      <x:c r="A7" s="40" t="str">
        <x:v>ADR-006</x:v>
      </x:c>
      <x:c r="B7" s="40" t="str">
        <x:v>OPEN</x:v>
      </x:c>
      <x:c r="C7" s="40" t="str">
        <x:v>Payment partner and merchant of record</x:v>
      </x:c>
      <x:c r="D7" s="40" t="str">
        <x:v>Need commercial onboarding and fee schedule</x:v>
      </x:c>
      <x:c r="E7" s="40" t="str">
        <x:v>SaaS subscription vs vehicle deposits separated</x:v>
      </x:c>
    </x:row>
    <x:row r="8" ht="35" customHeight="1">
      <x:c r="A8" s="30" t="str">
        <x:v>ADR-007</x:v>
      </x:c>
      <x:c r="B8" s="30" t="str">
        <x:v>OPEN</x:v>
      </x:c>
      <x:c r="C8" s="30" t="str">
        <x:v>Vehicle VIN and ownership verification sources</x:v>
      </x:c>
      <x:c r="D8" s="30" t="str">
        <x:v>Confirm legal partner/API access</x:v>
      </x:c>
      <x:c r="E8" s="30" t="str">
        <x:v>No false government integration claims</x:v>
      </x:c>
    </x:row>
    <x:row r="9" ht="35" customHeight="1">
      <x:c r="A9" s="40" t="str">
        <x:v>ADR-008</x:v>
      </x:c>
      <x:c r="B9" s="40" t="str">
        <x:v>OPEN</x:v>
      </x:c>
      <x:c r="C9" s="40" t="str">
        <x:v>Hosting jurisdiction and identity provider</x:v>
      </x:c>
      <x:c r="D9" s="40" t="str">
        <x:v>Security/compliance review and vendor assessment</x:v>
      </x:c>
      <x:c r="E9" s="40" t="str">
        <x:v>Consider UAE region and data transfers</x:v>
      </x:c>
    </x:row>
    <x:row r="10" ht="35" customHeight="1">
      <x:c r="A10" s="30" t="str">
        <x:v>ADR-009</x:v>
      </x:c>
      <x:c r="B10" s="30" t="str">
        <x:v>OPEN</x:v>
      </x:c>
      <x:c r="C10" s="30" t="str">
        <x:v>Consumer review and seller liability policy</x:v>
      </x:c>
      <x:c r="D10" s="30" t="str">
        <x:v>Counsel review before onboarding</x:v>
      </x:c>
      <x:c r="E10" s="30" t="str">
        <x:v>Disclose dealer vs platform responsibilities</x:v>
      </x:c>
    </x:row>
    <x:row r="11" ht="35" customHeight="1">
      <x:c r="A11" s="40" t="str">
        <x:v>ADR-010</x:v>
      </x:c>
      <x:c r="B11" s="40" t="str">
        <x:v>OPEN</x:v>
      </x:c>
      <x:c r="C11" s="40" t="str">
        <x:v>UAE e-invoicing applicability by revenue/transaction</x:v>
      </x:c>
      <x:c r="D11" s="40" t="str">
        <x:v>Accountant and accredited service provider confirmation</x:v>
      </x:c>
      <x:c r="E11" s="40" t="str">
        <x:v>Avoid promising compliance without review</x:v>
      </x:c>
    </x:row>
  </x:sheetData>
  <x:dataValidations count="1">
    <x:dataValidation type="list" sqref="B2:B100">
      <x:formula1>"APPROVED,PROPOSED,OPEN,REJECTED,SUPERSEDED"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a83d3204394e1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52" hidden="0" customWidth="1"/>
    <x:col min="4" max="4" width="35" hidden="0" customWidth="1"/>
    <x:col min="5" max="5" width="75" hidden="0" customWidth="1"/>
    <x:col min="6" max="6" width="20" hidden="0" customWidth="1"/>
    <x:col min="7" max="7" width="18" hidden="0" customWidth="1"/>
  </x:cols>
  <x:sheetData>
    <x:row r="1" ht="32" customHeight="1">
      <x:c r="A1" s="35" t="str">
        <x:v>ID</x:v>
      </x:c>
      <x:c r="B1" s="35" t="str">
        <x:v>Severity</x:v>
      </x:c>
      <x:c r="C1" s="35" t="str">
        <x:v>Risk statement</x:v>
      </x:c>
      <x:c r="D1" s="35" t="str">
        <x:v>Exposure</x:v>
      </x:c>
      <x:c r="E1" s="35" t="str">
        <x:v>Mitigation</x:v>
      </x:c>
      <x:c r="F1" s="35" t="str">
        <x:v>Owner</x:v>
      </x:c>
      <x:c r="G1" s="35" t="str">
        <x:v>Target window</x:v>
      </x:c>
    </x:row>
    <x:row r="2" ht="35" customHeight="1">
      <x:c r="A2" s="30" t="str">
        <x:v>R01</x:v>
      </x:c>
      <x:c r="B2" s="30" t="str">
        <x:v>Critical</x:v>
      </x:c>
      <x:c r="C2" s="30" t="str">
        <x:v>Not enough genuine stock/listings</x:v>
      </x:c>
      <x:c r="D2" s="30" t="str">
        <x:v>Marketplace liquidity</x:v>
      </x:c>
      <x:c r="E2" s="30" t="str">
        <x:v>Seed pilot supply and verify live stock before paid acquisition</x:v>
      </x:c>
      <x:c r="F2" s="30" t="str">
        <x:v>Product</x:v>
      </x:c>
      <x:c r="G2" s="30" t="str">
        <x:v>S0-S11</x:v>
      </x:c>
    </x:row>
    <x:row r="3" ht="35" customHeight="1">
      <x:c r="A3" s="40" t="str">
        <x:v>R02</x:v>
      </x:c>
      <x:c r="B3" s="40" t="str">
        <x:v>Critical</x:v>
      </x:c>
      <x:c r="C3" s="40" t="str">
        <x:v>Cross-tenant leakage or buyer identity exposure</x:v>
      </x:c>
      <x:c r="D3" s="40" t="str">
        <x:v>Security/compliance</x:v>
      </x:c>
      <x:c r="E3" s="40" t="str">
        <x:v>RLS/authorization tests and consent grants; external pen test before launch</x:v>
      </x:c>
      <x:c r="F3" s="40" t="str">
        <x:v>Security</x:v>
      </x:c>
      <x:c r="G3" s="40" t="str">
        <x:v>S1-S11</x:v>
      </x:c>
    </x:row>
    <x:row r="4" ht="35" customHeight="1">
      <x:c r="A4" s="30" t="str">
        <x:v>R03</x:v>
      </x:c>
      <x:c r="B4" s="30" t="str">
        <x:v>High</x:v>
      </x:c>
      <x:c r="C4" s="30" t="str">
        <x:v>Sold vehicles remain public</x:v>
      </x:c>
      <x:c r="D4" s="30" t="str">
        <x:v>Buyer trust</x:v>
      </x:c>
      <x:c r="E4" s="30" t="str">
        <x:v>Transactional stock writes, outbox, sync SLO, daily reconciliation</x:v>
      </x:c>
      <x:c r="F4" s="30" t="str">
        <x:v>Backend</x:v>
      </x:c>
      <x:c r="G4" s="30" t="str">
        <x:v>S3</x:v>
      </x:c>
    </x:row>
    <x:row r="5" ht="35" customHeight="1">
      <x:c r="A5" s="40" t="str">
        <x:v>R04</x:v>
      </x:c>
      <x:c r="B5" s="40" t="str">
        <x:v>High</x:v>
      </x:c>
      <x:c r="C5" s="40" t="str">
        <x:v>Fake / duplicated listings</x:v>
      </x:c>
      <x:c r="D5" s="40" t="str">
        <x:v>Buyer trust</x:v>
      </x:c>
      <x:c r="E5" s="40" t="str">
        <x:v>KYB, VIN/photo checks, moderation and report appeals</x:v>
      </x:c>
      <x:c r="F5" s="40" t="str">
        <x:v>Trust Ops</x:v>
      </x:c>
      <x:c r="G5" s="40" t="str">
        <x:v>S2-S3</x:v>
      </x:c>
    </x:row>
    <x:row r="6" ht="35" customHeight="1">
      <x:c r="A6" s="30" t="str">
        <x:v>R05</x:v>
      </x:c>
      <x:c r="B6" s="30" t="str">
        <x:v>High</x:v>
      </x:c>
      <x:c r="C6" s="30" t="str">
        <x:v>Dealers ignore inbound leads</x:v>
      </x:c>
      <x:c r="D6" s="30" t="str">
        <x:v>Marketplace conversion</x:v>
      </x:c>
      <x:c r="E6" s="30" t="str">
        <x:v>Routing/SLA escalation and pilot participation rules</x:v>
      </x:c>
      <x:c r="F6" s="30" t="str">
        <x:v>Sales Ops</x:v>
      </x:c>
      <x:c r="G6" s="30" t="str">
        <x:v>S6-S11</x:v>
      </x:c>
    </x:row>
    <x:row r="7" ht="35" customHeight="1">
      <x:c r="A7" s="40" t="str">
        <x:v>R06</x:v>
      </x:c>
      <x:c r="B7" s="40" t="str">
        <x:v>High</x:v>
      </x:c>
      <x:c r="C7" s="40" t="str">
        <x:v>Payments/KYB partner availability or fees</x:v>
      </x:c>
      <x:c r="D7" s="40" t="str">
        <x:v>External dependency</x:v>
      </x:c>
      <x:c r="E7" s="40" t="str">
        <x:v>Use provider abstraction; fallback manual approvals, and no prepay promises</x:v>
      </x:c>
      <x:c r="F7" s="40" t="str">
        <x:v>Product/Legal</x:v>
      </x:c>
      <x:c r="G7" s="40" t="str">
        <x:v>S0-S8</x:v>
      </x:c>
    </x:row>
    <x:row r="8" ht="35" customHeight="1">
      <x:c r="A8" s="30" t="str">
        <x:v>R07</x:v>
      </x:c>
      <x:c r="B8" s="30" t="str">
        <x:v>High</x:v>
      </x:c>
      <x:c r="C8" s="30" t="str">
        <x:v>GDPR-like assumptions substituted for UAE law</x:v>
      </x:c>
      <x:c r="D8" s="30" t="str">
        <x:v>Compliance</x:v>
      </x:c>
      <x:c r="E8" s="30" t="str">
        <x:v>UAE PDPL/privacy counsel review; review DIFC/ADGM context separately if relevant</x:v>
      </x:c>
      <x:c r="F8" s="30" t="str">
        <x:v>Legal</x:v>
      </x:c>
      <x:c r="G8" s="30" t="str">
        <x:v>S0-S11</x:v>
      </x:c>
    </x:row>
    <x:row r="9" ht="35" customHeight="1">
      <x:c r="A9" s="40" t="str">
        <x:v>R08</x:v>
      </x:c>
      <x:c r="B9" s="40" t="str">
        <x:v>High</x:v>
      </x:c>
      <x:c r="C9" s="40" t="str">
        <x:v>Wrong VAT/e-invoicing approach</x:v>
      </x:c>
      <x:c r="D9" s="40" t="str">
        <x:v>Finance/compliance</x:v>
      </x:c>
      <x:c r="E9" s="40" t="str">
        <x:v>Tax engine per transaction type; FTA invoicing roadmap assessment</x:v>
      </x:c>
      <x:c r="F9" s="40" t="str">
        <x:v>Finance/Legal</x:v>
      </x:c>
      <x:c r="G9" s="40" t="str">
        <x:v>S0-S9</x:v>
      </x:c>
    </x:row>
    <x:row r="10" ht="35" customHeight="1">
      <x:c r="A10" s="30" t="str">
        <x:v>R09</x:v>
      </x:c>
      <x:c r="B10" s="30" t="str">
        <x:v>Medium</x:v>
      </x:c>
      <x:c r="C10" s="30" t="str">
        <x:v>Marketplace pages slow/SEO weak</x:v>
      </x:c>
      <x:c r="D10" s="30" t="str">
        <x:v>Discovery</x:v>
      </x:c>
      <x:c r="E10" s="30" t="str">
        <x:v>Caching, image variants, SSR, sitemap, Core Web Vitals</x:v>
      </x:c>
      <x:c r="F10" s="30" t="str">
        <x:v>Frontend</x:v>
      </x:c>
      <x:c r="G10" s="30" t="str">
        <x:v>S4-S10</x:v>
      </x:c>
    </x:row>
    <x:row r="11" ht="35" customHeight="1">
      <x:c r="A11" s="40" t="str">
        <x:v>R10</x:v>
      </x:c>
      <x:c r="B11" s="40" t="str">
        <x:v>High</x:v>
      </x:c>
      <x:c r="C11" s="40" t="str">
        <x:v>Premature full DMS development delays marketplace</x:v>
      </x:c>
      <x:c r="D11" s="40" t="str">
        <x:v>Execution</x:v>
      </x:c>
      <x:c r="E11" s="40" t="str">
        <x:v>Gated P0 and separate post-MVP workstreams after pilot</x:v>
      </x:c>
      <x:c r="F11" s="40" t="str">
        <x:v>Product</x:v>
      </x:c>
      <x:c r="G11" s="40" t="str">
        <x:v>S0-S12</x:v>
      </x:c>
    </x:row>
    <x:row r="12" ht="35" customHeight="1">
      <x:c r="A12" s="30" t="str">
        <x:v>R11</x:v>
      </x:c>
      <x:c r="B12" s="30" t="str">
        <x:v>Medium</x:v>
      </x:c>
      <x:c r="C12" s="30" t="str">
        <x:v>English/Arabic content unreliable</x:v>
      </x:c>
      <x:c r="D12" s="30" t="str">
        <x:v>Usability</x:v>
      </x:c>
      <x:c r="E12" s="30" t="str">
        <x:v>RTL QA; bilingual metadata and controlled translations</x:v>
      </x:c>
      <x:c r="F12" s="30" t="str">
        <x:v>Design</x:v>
      </x:c>
      <x:c r="G12" s="30" t="str">
        <x:v>S4</x:v>
      </x:c>
    </x:row>
    <x:row r="13" ht="35" customHeight="1">
      <x:c r="A13" s="40" t="str">
        <x:v>R12</x:v>
      </x:c>
      <x:c r="B13" s="40" t="str">
        <x:v>Medium</x:v>
      </x:c>
      <x:c r="C13" s="40" t="str">
        <x:v>Country expansion leaks UAE-specific assumptions</x:v>
      </x:c>
      <x:c r="D13" s="40" t="str">
        <x:v>Architecture</x:v>
      </x:c>
      <x:c r="E13" s="40" t="str">
        <x:v>Country versioned rules, contract tests, migration review</x:v>
      </x:c>
      <x:c r="F13" s="40" t="str">
        <x:v>Architect</x:v>
      </x:c>
      <x:c r="G13" s="40" t="str">
        <x:v>S0 onward</x:v>
      </x:c>
    </x:row>
  </x:sheetData>
  <x:dataValidations count="1">
    <x:dataValidation type="list" sqref="B2:B1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a2d255462d43e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65" hidden="0" customWidth="1"/>
    <x:col min="3" max="3" width="75" hidden="0" customWidth="1"/>
    <x:col min="4" max="4" width="18" hidden="0" customWidth="1"/>
    <x:col min="5" max="5" width="25" hidden="0" customWidth="1"/>
  </x:cols>
  <x:sheetData>
    <x:row r="1" ht="32" customHeight="1">
      <x:c r="A1" s="35" t="str">
        <x:v>Metric</x:v>
      </x:c>
      <x:c r="B1" s="35" t="str">
        <x:v>Definition</x:v>
      </x:c>
      <x:c r="C1" s="35" t="str">
        <x:v>Pilot target / rule</x:v>
      </x:c>
      <x:c r="D1" s="35" t="str">
        <x:v>When</x:v>
      </x:c>
      <x:c r="E1" s="35" t="str">
        <x:v>Category</x:v>
      </x:c>
    </x:row>
    <x:row r="2" ht="35" customHeight="1">
      <x:c r="A2" s="30" t="str">
        <x:v>Verified active dealerships</x:v>
      </x:c>
      <x:c r="B2" s="30" t="str">
        <x:v>Count of approved, not suspended dealers</x:v>
      </x:c>
      <x:c r="C2" s="30" t="str">
        <x:v>10 pilot target / planning assumption</x:v>
      </x:c>
      <x:c r="D2" s="30" t="str">
        <x:v>S11</x:v>
      </x:c>
      <x:c r="E2" s="30" t="str">
        <x:v>Dealer trust</x:v>
      </x:c>
    </x:row>
    <x:row r="3" ht="35" customHeight="1">
      <x:c r="A3" s="40" t="str">
        <x:v>Live verified vehicle listings</x:v>
      </x:c>
      <x:c r="B3" s="40" t="str">
        <x:v>Published, approved, sellable items</x:v>
      </x:c>
      <x:c r="C3" s="40" t="str">
        <x:v>&gt;=300 planning hypothesis; validate with supply recruiting</x:v>
      </x:c>
      <x:c r="D3" s="40" t="str">
        <x:v>S11</x:v>
      </x:c>
      <x:c r="E3" s="40" t="str">
        <x:v>Inventory availability</x:v>
      </x:c>
    </x:row>
    <x:row r="4" ht="35" customHeight="1">
      <x:c r="A4" s="30" t="str">
        <x:v>Critical privacy defects</x:v>
      </x:c>
      <x:c r="B4" s="30" t="str">
        <x:v>Open P0 security/privacy issues</x:v>
      </x:c>
      <x:c r="C4" s="30" t="str">
        <x:v>0 before public release</x:v>
      </x:c>
      <x:c r="D4" s="30" t="str">
        <x:v>S11</x:v>
      </x:c>
      <x:c r="E4" s="30" t="str">
        <x:v>Launch gate</x:v>
      </x:c>
    </x:row>
    <x:row r="5" ht="35" customHeight="1">
      <x:c r="A5" s="40" t="str">
        <x:v>Cross-tenant authorization violations</x:v>
      </x:c>
      <x:c r="B5" s="40" t="str">
        <x:v>Automated regression failures</x:v>
      </x:c>
      <x:c r="C5" s="40" t="str">
        <x:v>0 failures</x:v>
      </x:c>
      <x:c r="D5" s="40" t="str">
        <x:v>S1-S12</x:v>
      </x:c>
      <x:c r="E5" s="40" t="str">
        <x:v>Security gate</x:v>
      </x:c>
    </x:row>
    <x:row r="6" ht="35" customHeight="1">
      <x:c r="A6" s="30" t="str">
        <x:v>Lead routing delivery</x:v>
      </x:c>
      <x:c r="B6" s="30" t="str">
        <x:v>Enquiries delivered to intended dealer and recorded</x:v>
      </x:c>
      <x:c r="C6" s="30" t="str">
        <x:v>&gt;=99.9% (engineering target)</x:v>
      </x:c>
      <x:c r="D6" s="30" t="str">
        <x:v>S6 onward</x:v>
      </x:c>
      <x:c r="E6" s="30" t="str">
        <x:v>Reliability</x:v>
      </x:c>
    </x:row>
    <x:row r="7" ht="35" customHeight="1">
      <x:c r="A7" s="40" t="str">
        <x:v>Sold-listing propagation</x:v>
      </x:c>
      <x:c r="B7" s="40" t="str">
        <x:v>Status reflected on public marketplace</x:v>
      </x:c>
      <x:c r="C7" s="40" t="str">
        <x:v>&lt;=60 sec p99 target; immediate checkout block</x:v>
      </x:c>
      <x:c r="D7" s="40" t="str">
        <x:v>S3 onward</x:v>
      </x:c>
      <x:c r="E7" s="40" t="str">
        <x:v>Trust</x:v>
      </x:c>
    </x:row>
    <x:row r="8" ht="35" customHeight="1">
      <x:c r="A8" s="30" t="str">
        <x:v>Listing image validity</x:v>
      </x:c>
      <x:c r="B8" s="30" t="str">
        <x:v>Live listings with approved compliant images</x:v>
      </x:c>
      <x:c r="C8" s="30" t="str">
        <x:v>100%</x:v>
      </x:c>
      <x:c r="D8" s="30" t="str">
        <x:v>S3 onward</x:v>
      </x:c>
      <x:c r="E8" s="30" t="str">
        <x:v>Trust</x:v>
      </x:c>
    </x:row>
    <x:row r="9" ht="35" customHeight="1">
      <x:c r="A9" s="40" t="str">
        <x:v>First dealer lead response</x:v>
      </x:c>
      <x:c r="B9" s="40" t="str">
        <x:v>Median within dealer published business hours</x:v>
      </x:c>
      <x:c r="C9" s="40" t="str">
        <x:v>&lt;30 min pilot hypothesis</x:v>
      </x:c>
      <x:c r="D9" s="40" t="str">
        <x:v>S11</x:v>
      </x:c>
      <x:c r="E9" s="40" t="str">
        <x:v>Marketplace quality</x:v>
      </x:c>
    </x:row>
    <x:row r="10" ht="35" customHeight="1">
      <x:c r="A10" s="30" t="str">
        <x:v>Duplicate approved listings</x:v>
      </x:c>
      <x:c r="B10" s="30" t="str">
        <x:v>Duplicate VIN/media found on published inventory</x:v>
      </x:c>
      <x:c r="C10" s="30" t="str">
        <x:v>&lt;1% pilot investigation threshold</x:v>
      </x:c>
      <x:c r="D10" s="30" t="str">
        <x:v>S11</x:v>
      </x:c>
      <x:c r="E10" s="30" t="str">
        <x:v>Trust</x:v>
      </x:c>
    </x:row>
    <x:row r="11" ht="35" customHeight="1">
      <x:c r="A11" s="40" t="str">
        <x:v>Buyer enquiry conversion</x:v>
      </x:c>
      <x:c r="B11" s="40" t="str">
        <x:v>Enquiries divided by listing detail sessions</x:v>
      </x:c>
      <x:c r="C11" s="40" t="str">
        <x:v>Establish baseline; no invented conversion target</x:v>
      </x:c>
      <x:c r="D11" s="40" t="str">
        <x:v>S11</x:v>
      </x:c>
      <x:c r="E11" s="40" t="str">
        <x:v>Growth</x:v>
      </x:c>
    </x:row>
    <x:row r="12" ht="35" customHeight="1">
      <x:c r="A12" s="30" t="str">
        <x:v>Search to detail engagement</x:v>
      </x:c>
      <x:c r="B12" s="30" t="str">
        <x:v>Detail views divided by qualifying searches</x:v>
      </x:c>
      <x:c r="C12" s="30" t="str">
        <x:v>Establish baseline</x:v>
      </x:c>
      <x:c r="D12" s="30" t="str">
        <x:v>S11</x:v>
      </x:c>
      <x:c r="E12" s="30" t="str">
        <x:v>Growth</x:v>
      </x:c>
    </x:row>
    <x:row r="13" ht="35" customHeight="1">
      <x:c r="A13" s="40" t="str">
        <x:v>Payment webhook duplicate side effects</x:v>
      </x:c>
      <x:c r="B13" s="40" t="str">
        <x:v>Repeated billing transactions from repeated webhooks</x:v>
      </x:c>
      <x:c r="C13" s="40" t="str">
        <x:v>0</x:v>
      </x:c>
      <x:c r="D13" s="40" t="str">
        <x:v>S8</x:v>
      </x:c>
      <x:c r="E13" s="40" t="str">
        <x:v>Finance</x:v>
      </x:c>
    </x:row>
  </x:sheetData>
  <x:pageMargins left="0.7" right="0.7" top="0.75" bottom="0.75" header="0.3" footer="0.3"/>
  <x:tableParts count="1">
    <x:tablePart xmlns:r="http://schemas.openxmlformats.org/officeDocument/2006/relationships" r:id="Rf5a70c59b00b47f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48" hidden="0" customWidth="1"/>
    <x:col min="3" max="3" width="86" hidden="0" customWidth="1"/>
    <x:col min="4" max="4" width="22" hidden="0" customWidth="1"/>
    <x:col min="5" max="5" width="15" hidden="0" customWidth="1"/>
    <x:col min="6" max="6" width="100" hidden="0" customWidth="1"/>
  </x:cols>
  <x:sheetData>
    <x:row r="1" ht="32" customHeight="1">
      <x:c r="A1" s="35" t="str">
        <x:v>Topic</x:v>
      </x:c>
      <x:c r="B1" s="35" t="str">
        <x:v>Scope</x:v>
      </x:c>
      <x:c r="C1" s="35" t="str">
        <x:v>Implementation task</x:v>
      </x:c>
      <x:c r="D1" s="35" t="str">
        <x:v>Owner</x:v>
      </x:c>
      <x:c r="E1" s="35" t="str">
        <x:v>State</x:v>
      </x:c>
      <x:c r="F1" s="35" t="str">
        <x:v>Source / dependency</x:v>
      </x:c>
    </x:row>
    <x:row r="2" ht="35" customHeight="1">
      <x:c r="A2" s="30" t="str">
        <x:v>UAE Personal Data Protection</x:v>
      </x:c>
      <x:c r="B2" s="30" t="str">
        <x:v>Buyer privacy, consent and exports</x:v>
      </x:c>
      <x:c r="C2" s="30" t="str">
        <x:v>Legal review, rights workflows, processor contracts and transfer assessment</x:v>
      </x:c>
      <x:c r="D2" s="30" t="str">
        <x:v>Legal/Security</x:v>
      </x:c>
      <x:c r="E2" s="30" t="str">
        <x:v>Open</x:v>
      </x:c>
      <x:c r="F2" s="30" t="str">
        <x:v>https://u.ae/en/about-the-uae/digital-uae/data/data-protection-laws.</x:v>
      </x:c>
    </x:row>
    <x:row r="3" ht="35" customHeight="1">
      <x:c r="A3" s="40" t="str">
        <x:v>Consumer Protection Law</x:v>
      </x:c>
      <x:c r="B3" s="40" t="str">
        <x:v>Truthful prices and vehicle advertising</x:v>
      </x:c>
      <x:c r="C3" s="40" t="str">
        <x:v>Terms, disclosure evidence, content moderation and complaint handling</x:v>
      </x:c>
      <x:c r="D3" s="40" t="str">
        <x:v>Legal/Trust</x:v>
      </x:c>
      <x:c r="E3" s="40" t="str">
        <x:v>Open</x:v>
      </x:c>
      <x:c r="F3" s="40" t="str">
        <x:v>https://www.moec.gov.ae/en/federal-law-no-15-of-2020-on-consumer-protection</x:v>
      </x:c>
    </x:row>
    <x:row r="4" ht="35" customHeight="1">
      <x:c r="A4" s="30" t="str">
        <x:v>VAT standard 5%</x:v>
      </x:c>
      <x:c r="B4" s="30" t="str">
        <x:v>SaaS subscription invoices; vehicle VAT handling</x:v>
      </x:c>
      <x:c r="C4" s="30" t="str">
        <x:v>Tax treatment engine; avoid universal 5% vehicle price addition</x:v>
      </x:c>
      <x:c r="D4" s="30" t="str">
        <x:v>Finance</x:v>
      </x:c>
      <x:c r="E4" s="30" t="str">
        <x:v>Open</x:v>
      </x:c>
      <x:c r="F4" s="30" t="str">
        <x:v>https://tax.gov.ae/en/faq.aspx?keyword=What+is+the+standard+rate+of+VAT+in+the+UAE%3F</x:v>
      </x:c>
    </x:row>
    <x:row r="5" ht="35" customHeight="1">
      <x:c r="A5" s="40" t="str">
        <x:v>UAE e-Invoicing</x:v>
      </x:c>
      <x:c r="B5" s="40" t="str">
        <x:v>Merchant/platform invoice flows</x:v>
      </x:c>
      <x:c r="C5" s="40" t="str">
        <x:v>Check applicability and phased deadlines; accredited service provider roadmap</x:v>
      </x:c>
      <x:c r="D5" s="40" t="str">
        <x:v>Finance/Legal</x:v>
      </x:c>
      <x:c r="E5" s="40" t="str">
        <x:v>Open</x:v>
      </x:c>
      <x:c r="F5" s="40" t="str">
        <x:v>https://tax.gov.ae/en/content/uae.einvoicing.aspx</x:v>
      </x:c>
    </x:row>
    <x:row r="6" ht="35" customHeight="1">
      <x:c r="A6" s="30" t="str">
        <x:v>Federal e-Invoicing timeline</x:v>
      </x:c>
      <x:c r="B6" s="30" t="str">
        <x:v>2027 phased mandatory schedules</x:v>
      </x:c>
      <x:c r="C6" s="30" t="str">
        <x:v>Confirm tax advisory scope and required milestone dates per revenue size</x:v>
      </x:c>
      <x:c r="D6" s="30" t="str">
        <x:v>Finance/Legal</x:v>
      </x:c>
      <x:c r="E6" s="30" t="str">
        <x:v>Open</x:v>
      </x:c>
      <x:c r="F6" s="30" t="str">
        <x:v>https://tax.gov.ae/en/media.centre/news/federal.tax.authority.organises.joint.awareness.meeting.for.accredited.service.providers.and.persons.subject.to.the.einvoicing.system.aspx</x:v>
      </x:c>
    </x:row>
    <x:row r="7" ht="35" customHeight="1">
      <x:c r="A7" s="40" t="str">
        <x:v>Commercial/partner-dependent APIs</x:v>
      </x:c>
      <x:c r="B7" s="40" t="str">
        <x:v>UAE Pass / RTA / banks / insurer / vehicle history</x:v>
      </x:c>
      <x:c r="C7" s="40" t="str">
        <x:v>No native integration claim until legal onboarding and published partner API access</x:v>
      </x:c>
      <x:c r="D7" s="40" t="str">
        <x:v>Product/Legal</x:v>
      </x:c>
      <x:c r="E7" s="40" t="str">
        <x:v>Open</x:v>
      </x:c>
      <x:c r="F7" s="40" t="str">
        <x:v>N/A — partner diligence required</x:v>
      </x:c>
    </x:row>
    <x:row r="8" ht="35" customHeight="1">
      <x:c r="A8" s="30" t="str">
        <x:v>Marketplace content quality</x:v>
      </x:c>
      <x:c r="B8" s="30" t="str">
        <x:v>Competitor industry practice (not law)</x:v>
      </x:c>
      <x:c r="C8" s="30" t="str">
        <x:v>Validate photos, truthful attributes, VIN duplicate checking, price/spec mismatch</x:v>
      </x:c>
      <x:c r="D8" s="30" t="str">
        <x:v>Trust/Product</x:v>
      </x:c>
      <x:c r="E8" s="30" t="str">
        <x:v>Draft</x:v>
      </x:c>
      <x:c r="F8" s="30" t="str">
        <x:v>https://support.dubizzle.com/hc/en-us/articles/27435261468562-Posting-rules-for-dubizzle-Cars-Dealers</x:v>
      </x:c>
    </x:row>
  </x:sheetData>
  <x:dataValidations count="1">
    <x:dataValidation type="list" sqref="E2:E100">
      <x:formula1>"Open,Draft,In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4b6dadf54c4577"/>
  </x:tableParts>
</x:worksheet>
</file>